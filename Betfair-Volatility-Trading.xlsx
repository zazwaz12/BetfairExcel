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m/Desktop/"/>
    </mc:Choice>
  </mc:AlternateContent>
  <xr:revisionPtr revIDLastSave="0" documentId="13_ncr:1_{8CF7C05D-1333-FC40-9FA5-BDC390A97E29}" xr6:coauthVersionLast="47" xr6:coauthVersionMax="47" xr10:uidLastSave="{00000000-0000-0000-0000-000000000000}"/>
  <bookViews>
    <workbookView xWindow="4000" yWindow="500" windowWidth="34400" windowHeight="19000" xr2:uid="{C475443F-0BD3-43A3-A939-51219F6DA813}"/>
  </bookViews>
  <sheets>
    <sheet name="AFL" sheetId="1" r:id="rId1"/>
    <sheet name="Tennis" sheetId="2" r:id="rId2"/>
    <sheet name="Cricket" sheetId="9" r:id="rId3"/>
    <sheet name="Basketball" sheetId="10" r:id="rId4"/>
    <sheet name="NFL" sheetId="11" r:id="rId5"/>
    <sheet name="Options" sheetId="1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7" i="1" l="1"/>
  <c r="G27" i="1"/>
  <c r="J25" i="1" l="1"/>
  <c r="K25" i="1" s="1"/>
  <c r="J22" i="1"/>
  <c r="K22" i="1" s="1"/>
  <c r="J23" i="1"/>
  <c r="K23" i="1" s="1"/>
  <c r="J24" i="1"/>
  <c r="K24" i="1" s="1"/>
  <c r="J26" i="1"/>
  <c r="K26" i="1" s="1"/>
  <c r="K27" i="1"/>
  <c r="J28" i="1"/>
  <c r="K28" i="1" s="1"/>
  <c r="J29" i="1"/>
  <c r="K29" i="1"/>
  <c r="J30" i="1"/>
  <c r="K30" i="1"/>
  <c r="G28" i="1"/>
  <c r="G29" i="1"/>
  <c r="G30" i="1"/>
  <c r="G22" i="1"/>
  <c r="E30" i="1"/>
  <c r="F30" i="1"/>
  <c r="E29" i="1"/>
  <c r="F29" i="1"/>
  <c r="E28" i="1"/>
  <c r="F28" i="1" s="1"/>
  <c r="E27" i="1"/>
  <c r="F27" i="1" s="1"/>
  <c r="E26" i="1"/>
  <c r="F26" i="1" s="1"/>
  <c r="E25" i="1"/>
  <c r="F25" i="1" s="1"/>
  <c r="G25" i="1" s="1"/>
  <c r="E24" i="1"/>
  <c r="F24" i="1"/>
  <c r="G24" i="1" s="1"/>
  <c r="E23" i="1"/>
  <c r="F23" i="1" s="1"/>
  <c r="E22" i="1"/>
  <c r="F22" i="1" s="1"/>
  <c r="G12" i="2"/>
  <c r="E12" i="2"/>
  <c r="F12" i="2" s="1"/>
  <c r="J12" i="2"/>
  <c r="K12" i="2" s="1"/>
  <c r="E11" i="2"/>
  <c r="F11" i="2"/>
  <c r="J11" i="2" s="1"/>
  <c r="K11" i="2" s="1"/>
  <c r="E9" i="2"/>
  <c r="F9" i="2" s="1"/>
  <c r="G9" i="2" s="1"/>
  <c r="J9" i="2"/>
  <c r="K9" i="2" s="1"/>
  <c r="E10" i="2"/>
  <c r="F10" i="2"/>
  <c r="G10" i="2"/>
  <c r="J10" i="2"/>
  <c r="K10" i="2" s="1"/>
  <c r="E7" i="2"/>
  <c r="F7" i="2" s="1"/>
  <c r="G7" i="2" s="1"/>
  <c r="J7" i="2"/>
  <c r="K7" i="2" s="1"/>
  <c r="E8" i="2"/>
  <c r="F8" i="2"/>
  <c r="G8" i="2"/>
  <c r="J8" i="2"/>
  <c r="K8" i="2" s="1"/>
  <c r="J14" i="1"/>
  <c r="K14" i="1" s="1"/>
  <c r="J6" i="13"/>
  <c r="L6" i="13" s="1"/>
  <c r="J12" i="1"/>
  <c r="J13" i="1"/>
  <c r="K13" i="1" s="1"/>
  <c r="J6" i="2"/>
  <c r="K6" i="2" s="1"/>
  <c r="E6" i="2"/>
  <c r="F6" i="2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E13" i="1"/>
  <c r="F13" i="1" s="1"/>
  <c r="G13" i="1" s="1"/>
  <c r="E14" i="1"/>
  <c r="F14" i="1" s="1"/>
  <c r="G14" i="1" s="1"/>
  <c r="E15" i="1"/>
  <c r="F15" i="1" s="1"/>
  <c r="G15" i="1" s="1"/>
  <c r="E16" i="1"/>
  <c r="F16" i="1" s="1"/>
  <c r="G16" i="1" s="1"/>
  <c r="E17" i="1"/>
  <c r="F17" i="1" s="1"/>
  <c r="G17" i="1" s="1"/>
  <c r="E18" i="1"/>
  <c r="F18" i="1" s="1"/>
  <c r="G18" i="1" s="1"/>
  <c r="E19" i="1"/>
  <c r="F19" i="1" s="1"/>
  <c r="G19" i="1" s="1"/>
  <c r="E20" i="1"/>
  <c r="F20" i="1" s="1"/>
  <c r="G20" i="1" s="1"/>
  <c r="E21" i="1"/>
  <c r="F21" i="1" s="1"/>
  <c r="K10" i="1"/>
  <c r="J5" i="13"/>
  <c r="E5" i="11"/>
  <c r="F5" i="11" s="1"/>
  <c r="G5" i="11" s="1"/>
  <c r="J5" i="11" s="1"/>
  <c r="K5" i="11" s="1"/>
  <c r="E5" i="10"/>
  <c r="F5" i="10" s="1"/>
  <c r="G5" i="10" s="1"/>
  <c r="J5" i="10" s="1"/>
  <c r="K5" i="10" s="1"/>
  <c r="E5" i="9"/>
  <c r="F5" i="9" s="1"/>
  <c r="G5" i="9" s="1"/>
  <c r="J5" i="9" s="1"/>
  <c r="K5" i="9" s="1"/>
  <c r="E5" i="2"/>
  <c r="F5" i="2" s="1"/>
  <c r="G5" i="2" s="1"/>
  <c r="J5" i="2" s="1"/>
  <c r="K5" i="2" s="1"/>
  <c r="J7" i="1"/>
  <c r="K7" i="1" s="1"/>
  <c r="J8" i="1"/>
  <c r="K8" i="1" s="1"/>
  <c r="J9" i="1"/>
  <c r="K9" i="1" s="1"/>
  <c r="J11" i="1"/>
  <c r="K11" i="1" s="1"/>
  <c r="J5" i="1"/>
  <c r="K5" i="1" s="1"/>
  <c r="E7" i="1"/>
  <c r="F7" i="1" s="1"/>
  <c r="E8" i="1"/>
  <c r="F8" i="1" s="1"/>
  <c r="G8" i="1" s="1"/>
  <c r="E9" i="1"/>
  <c r="F9" i="1" s="1"/>
  <c r="G9" i="1" s="1"/>
  <c r="E10" i="1"/>
  <c r="F10" i="1" s="1"/>
  <c r="G10" i="1" s="1"/>
  <c r="J10" i="1" s="1"/>
  <c r="E11" i="1"/>
  <c r="F11" i="1" s="1"/>
  <c r="G11" i="1" s="1"/>
  <c r="E12" i="1"/>
  <c r="F12" i="1" s="1"/>
  <c r="E6" i="1"/>
  <c r="F6" i="1" s="1"/>
  <c r="G6" i="1" s="1"/>
  <c r="J6" i="1" s="1"/>
  <c r="K6" i="1" s="1"/>
  <c r="E5" i="1"/>
  <c r="F5" i="1" s="1"/>
  <c r="G5" i="1" s="1"/>
  <c r="K12" i="1" l="1"/>
  <c r="L5" i="13"/>
</calcChain>
</file>

<file path=xl/sharedStrings.xml><?xml version="1.0" encoding="utf-8"?>
<sst xmlns="http://schemas.openxmlformats.org/spreadsheetml/2006/main" count="145" uniqueCount="51">
  <si>
    <t>ID</t>
  </si>
  <si>
    <t>Matched</t>
  </si>
  <si>
    <t>Starting</t>
  </si>
  <si>
    <t>Implied</t>
  </si>
  <si>
    <t>Adjusted</t>
  </si>
  <si>
    <t>Backing</t>
  </si>
  <si>
    <t>Outcome</t>
  </si>
  <si>
    <t>WON</t>
  </si>
  <si>
    <t>Profit (u)</t>
  </si>
  <si>
    <t>Unit (u)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</si>
  <si>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</t>
    </r>
  </si>
  <si>
    <t>LOST</t>
  </si>
  <si>
    <t>Profit</t>
  </si>
  <si>
    <t>Team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</si>
  <si>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in the first three quarters</t>
    </r>
  </si>
  <si>
    <t>Power</t>
  </si>
  <si>
    <t>Dockers</t>
  </si>
  <si>
    <t>Blues</t>
  </si>
  <si>
    <t>Lions</t>
  </si>
  <si>
    <t>Swans</t>
  </si>
  <si>
    <t>Suns</t>
  </si>
  <si>
    <t>Dogs</t>
  </si>
  <si>
    <t>Hawks</t>
  </si>
  <si>
    <t>No Matches Yet</t>
  </si>
  <si>
    <t>Fees</t>
  </si>
  <si>
    <t>Put X1</t>
  </si>
  <si>
    <t>Put X2</t>
  </si>
  <si>
    <t>Call X1</t>
  </si>
  <si>
    <t>Call X2</t>
  </si>
  <si>
    <t>Expiry Price</t>
  </si>
  <si>
    <t>All figures in USD</t>
  </si>
  <si>
    <t>Upfront ($)</t>
  </si>
  <si>
    <t>Closing ($)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</si>
  <si>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iron condors, VOO, 30 days +- 5 days, deltas ~20 +-2, add puts and calls $15 each way, atleast 1/3 price to risk on entry</t>
    </r>
  </si>
  <si>
    <t>Crows</t>
  </si>
  <si>
    <t>Demons</t>
  </si>
  <si>
    <t>Cats</t>
  </si>
  <si>
    <t>Giants</t>
  </si>
  <si>
    <t>Saints</t>
  </si>
  <si>
    <t>Comesana</t>
  </si>
  <si>
    <t>Betfair take 6% in fees</t>
  </si>
  <si>
    <t>Griekspoor</t>
  </si>
  <si>
    <t>Alcaraz</t>
  </si>
  <si>
    <t>Andreeva</t>
  </si>
  <si>
    <t>Jovic</t>
  </si>
  <si>
    <t>Kostyuk</t>
  </si>
  <si>
    <r>
      <rPr>
        <b/>
        <sz val="11"/>
        <color theme="1"/>
        <rFont val="Calibri"/>
        <family val="2"/>
        <scheme val="minor"/>
      </rPr>
      <t>Strategy</t>
    </r>
    <r>
      <rPr>
        <sz val="11"/>
        <color theme="1"/>
        <rFont val="Calibri"/>
        <family val="2"/>
        <scheme val="minor"/>
      </rPr>
      <t>: backing the favourite @ 20% above starting, first to 5 games in first set</t>
    </r>
  </si>
  <si>
    <t>Nava</t>
  </si>
  <si>
    <t>Expiry</t>
  </si>
  <si>
    <t>Magpies</t>
  </si>
  <si>
    <t>Kangaroos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</si>
</sst>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;[Red]\-&quot;$&quot;#,##0.00"/>
    <numFmt numFmtId="165" formatCode="_-&quot;$&quot;* #,##0.00_-;\-&quot;$&quot;* #,##0.00_-;_-&quot;$&quot;* &quot;-&quot;??_-;_-@_-"/>
    <numFmt numFmtId="166" formatCode="_-&quot;$&quot;* #,##0_-;\-&quot;$&quot;* #,##0_-;_-&quot;$&quot;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9" fontId="0" fillId="2" borderId="4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0" fillId="7" borderId="6" xfId="0" applyFill="1" applyBorder="1" applyAlignment="1">
      <alignment horizontal="center"/>
    </xf>
    <xf numFmtId="9" fontId="0" fillId="2" borderId="7" xfId="0" applyNumberForma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9" fontId="0" fillId="2" borderId="8" xfId="0" applyNumberForma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/>
    </xf>
    <xf numFmtId="2" fontId="3" fillId="6" borderId="8" xfId="0" applyNumberFormat="1" applyFont="1" applyFill="1" applyBorder="1" applyAlignment="1">
      <alignment horizontal="center"/>
    </xf>
    <xf numFmtId="2" fontId="3" fillId="6" borderId="3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2" fontId="3" fillId="6" borderId="5" xfId="0" applyNumberFormat="1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8" borderId="0" xfId="0" applyFill="1" applyAlignment="1">
      <alignment horizontal="left"/>
    </xf>
    <xf numFmtId="0" fontId="0" fillId="6" borderId="1" xfId="0" quotePrefix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166" fontId="0" fillId="8" borderId="2" xfId="2" applyNumberFormat="1" applyFont="1" applyFill="1" applyBorder="1" applyAlignment="1">
      <alignment horizontal="center"/>
    </xf>
    <xf numFmtId="165" fontId="0" fillId="9" borderId="2" xfId="2" applyFont="1" applyFill="1" applyBorder="1" applyAlignment="1">
      <alignment horizontal="center"/>
    </xf>
    <xf numFmtId="165" fontId="5" fillId="7" borderId="2" xfId="2" applyFont="1" applyFill="1" applyBorder="1" applyAlignment="1">
      <alignment horizontal="center"/>
    </xf>
    <xf numFmtId="166" fontId="3" fillId="6" borderId="8" xfId="2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3" fillId="6" borderId="2" xfId="2" applyNumberFormat="1" applyFont="1" applyFill="1" applyBorder="1" applyAlignment="1">
      <alignment horizontal="center"/>
    </xf>
    <xf numFmtId="9" fontId="0" fillId="2" borderId="2" xfId="1" applyFont="1" applyFill="1" applyBorder="1" applyAlignment="1">
      <alignment horizontal="center"/>
    </xf>
    <xf numFmtId="9" fontId="0" fillId="2" borderId="0" xfId="1" applyFont="1" applyFill="1" applyBorder="1" applyAlignment="1">
      <alignment horizontal="center"/>
    </xf>
    <xf numFmtId="9" fontId="0" fillId="2" borderId="6" xfId="1" applyFont="1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2" fontId="3" fillId="7" borderId="3" xfId="0" applyNumberFormat="1" applyFont="1" applyFill="1" applyBorder="1" applyAlignment="1">
      <alignment horizontal="center"/>
    </xf>
    <xf numFmtId="2" fontId="3" fillId="7" borderId="5" xfId="0" applyNumberFormat="1" applyFont="1" applyFill="1" applyBorder="1" applyAlignment="1">
      <alignment horizontal="center"/>
    </xf>
    <xf numFmtId="164" fontId="0" fillId="0" borderId="0" xfId="0" applyNumberFormat="1"/>
    <xf numFmtId="0" fontId="0" fillId="7" borderId="0" xfId="0" applyFill="1" applyAlignment="1">
      <alignment horizontal="center"/>
    </xf>
    <xf numFmtId="2" fontId="3" fillId="7" borderId="0" xfId="0" applyNumberFormat="1" applyFont="1" applyFill="1" applyAlignment="1">
      <alignment horizontal="center"/>
    </xf>
    <xf numFmtId="0" fontId="6" fillId="8" borderId="1" xfId="0" applyFont="1" applyFill="1" applyBorder="1" applyAlignment="1">
      <alignment horizontal="center"/>
    </xf>
    <xf numFmtId="15" fontId="0" fillId="5" borderId="2" xfId="0" applyNumberForma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10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2" fontId="3" fillId="7" borderId="1" xfId="0" applyNumberFormat="1" applyFont="1" applyFill="1" applyBorder="1" applyAlignment="1">
      <alignment horizontal="center"/>
    </xf>
    <xf numFmtId="9" fontId="0" fillId="2" borderId="2" xfId="0" applyNumberFormat="1" applyFill="1" applyBorder="1" applyAlignment="1">
      <alignment horizontal="center"/>
    </xf>
    <xf numFmtId="0" fontId="0" fillId="0" borderId="4" xfId="0" applyBorder="1"/>
    <xf numFmtId="9" fontId="0" fillId="2" borderId="6" xfId="0" applyNumberFormat="1" applyFill="1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7" borderId="8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</cellXfs>
  <cellStyles count="3">
    <cellStyle name="Currency" xfId="2" builtinId="4"/>
    <cellStyle name="Normal" xfId="0" builtinId="0"/>
    <cellStyle name="Per 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F64F3-70C4-4428-8243-3F4213F2A2FD}">
  <sheetPr>
    <pageSetUpPr fitToPage="1"/>
  </sheetPr>
  <dimension ref="B2:K30"/>
  <sheetViews>
    <sheetView tabSelected="1" zoomScale="136" workbookViewId="0">
      <pane ySplit="4" topLeftCell="A5" activePane="bottomLeft" state="frozen"/>
      <selection pane="bottomLeft" activeCell="H29" sqref="H29"/>
    </sheetView>
  </sheetViews>
  <sheetFormatPr baseColWidth="10" defaultColWidth="8.83203125" defaultRowHeight="15" x14ac:dyDescent="0.2"/>
  <cols>
    <col min="1" max="1" width="6.5" customWidth="1"/>
    <col min="2" max="2" width="4.33203125" style="1" customWidth="1"/>
    <col min="3" max="3" width="11" style="1" customWidth="1"/>
    <col min="4" max="11" width="10.1640625" customWidth="1"/>
  </cols>
  <sheetData>
    <row r="2" spans="2:11" x14ac:dyDescent="0.2">
      <c r="B2" t="s">
        <v>14</v>
      </c>
      <c r="C2"/>
    </row>
    <row r="3" spans="2:11" ht="16" thickBot="1" x14ac:dyDescent="0.25"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46" t="s">
        <v>18</v>
      </c>
      <c r="D5" s="23">
        <v>1.34</v>
      </c>
      <c r="E5" s="41">
        <f>1/D5</f>
        <v>0.74626865671641784</v>
      </c>
      <c r="F5" s="21">
        <f>E5-0.2</f>
        <v>0.54626865671641789</v>
      </c>
      <c r="G5" s="22">
        <f>1/F5</f>
        <v>1.8306010928961749</v>
      </c>
      <c r="H5" s="23">
        <v>0</v>
      </c>
      <c r="I5" s="23" t="s">
        <v>7</v>
      </c>
      <c r="J5" s="24">
        <f>IF(H5=0,0,IF(I5="WON",(G5-1)*0.95,-1))</f>
        <v>0</v>
      </c>
      <c r="K5" s="25">
        <f>J5*J$3</f>
        <v>0</v>
      </c>
    </row>
    <row r="6" spans="2:11" x14ac:dyDescent="0.2">
      <c r="B6" s="3">
        <v>2</v>
      </c>
      <c r="C6" s="47" t="s">
        <v>17</v>
      </c>
      <c r="D6" s="52">
        <v>1.77</v>
      </c>
      <c r="E6" s="42">
        <f>1/D6</f>
        <v>0.56497175141242939</v>
      </c>
      <c r="F6" s="6">
        <f>E6-0.2</f>
        <v>0.36497175141242938</v>
      </c>
      <c r="G6" s="53">
        <f>1/F6</f>
        <v>2.7399380804953561</v>
      </c>
      <c r="H6" s="52">
        <v>0</v>
      </c>
      <c r="I6" s="52" t="s">
        <v>11</v>
      </c>
      <c r="J6" s="26">
        <f t="shared" ref="J6:J11" si="0">IF(H6=0,0,IF(I6="WON",(G6-1)*0.95,-1))</f>
        <v>0</v>
      </c>
      <c r="K6" s="27">
        <f t="shared" ref="K6:K12" si="1">J6*J$3</f>
        <v>0</v>
      </c>
    </row>
    <row r="7" spans="2:11" x14ac:dyDescent="0.2">
      <c r="B7" s="3">
        <v>3</v>
      </c>
      <c r="C7" s="47" t="s">
        <v>16</v>
      </c>
      <c r="D7" s="52">
        <v>1.91</v>
      </c>
      <c r="E7" s="42">
        <f t="shared" ref="E7:E12" si="2">1/D7</f>
        <v>0.52356020942408377</v>
      </c>
      <c r="F7" s="6">
        <f t="shared" ref="F7:F12" si="3">E7-0.2</f>
        <v>0.32356020942408376</v>
      </c>
      <c r="G7" s="53">
        <v>3.1</v>
      </c>
      <c r="H7" s="52">
        <v>0</v>
      </c>
      <c r="I7" s="52" t="s">
        <v>7</v>
      </c>
      <c r="J7" s="26">
        <f t="shared" si="0"/>
        <v>0</v>
      </c>
      <c r="K7" s="27">
        <f t="shared" si="1"/>
        <v>0</v>
      </c>
    </row>
    <row r="8" spans="2:11" x14ac:dyDescent="0.2">
      <c r="B8" s="3">
        <v>4</v>
      </c>
      <c r="C8" s="47" t="s">
        <v>15</v>
      </c>
      <c r="D8" s="52">
        <v>1.44</v>
      </c>
      <c r="E8" s="42">
        <f t="shared" si="2"/>
        <v>0.69444444444444442</v>
      </c>
      <c r="F8" s="6">
        <f t="shared" si="3"/>
        <v>0.49444444444444441</v>
      </c>
      <c r="G8" s="53">
        <f t="shared" ref="G8:G11" si="4">1/F8</f>
        <v>2.0224719101123596</v>
      </c>
      <c r="H8" s="52">
        <v>0</v>
      </c>
      <c r="I8" s="52" t="s">
        <v>7</v>
      </c>
      <c r="J8" s="26">
        <f t="shared" si="0"/>
        <v>0</v>
      </c>
      <c r="K8" s="27">
        <f t="shared" si="1"/>
        <v>0</v>
      </c>
    </row>
    <row r="9" spans="2:11" x14ac:dyDescent="0.2">
      <c r="B9" s="3">
        <v>5</v>
      </c>
      <c r="C9" s="47" t="s">
        <v>19</v>
      </c>
      <c r="D9" s="52">
        <v>1.19</v>
      </c>
      <c r="E9" s="42">
        <f t="shared" si="2"/>
        <v>0.84033613445378152</v>
      </c>
      <c r="F9" s="6">
        <f t="shared" si="3"/>
        <v>0.64033613445378146</v>
      </c>
      <c r="G9" s="53">
        <f t="shared" si="4"/>
        <v>1.5616797900262469</v>
      </c>
      <c r="H9" s="52">
        <v>0</v>
      </c>
      <c r="I9" s="52" t="s">
        <v>7</v>
      </c>
      <c r="J9" s="26">
        <f t="shared" si="0"/>
        <v>0</v>
      </c>
      <c r="K9" s="27">
        <f t="shared" si="1"/>
        <v>0</v>
      </c>
    </row>
    <row r="10" spans="2:11" x14ac:dyDescent="0.2">
      <c r="B10" s="3">
        <v>6</v>
      </c>
      <c r="C10" s="47" t="s">
        <v>20</v>
      </c>
      <c r="D10" s="52">
        <v>1.38</v>
      </c>
      <c r="E10" s="42">
        <f t="shared" si="2"/>
        <v>0.7246376811594204</v>
      </c>
      <c r="F10" s="6">
        <f t="shared" si="3"/>
        <v>0.52463768115942044</v>
      </c>
      <c r="G10" s="53">
        <f t="shared" si="4"/>
        <v>1.9060773480662978</v>
      </c>
      <c r="H10" s="52">
        <v>1</v>
      </c>
      <c r="I10" s="52" t="s">
        <v>11</v>
      </c>
      <c r="J10" s="26">
        <f t="shared" si="0"/>
        <v>-1</v>
      </c>
      <c r="K10" s="27">
        <f t="shared" si="1"/>
        <v>-55.55</v>
      </c>
    </row>
    <row r="11" spans="2:11" x14ac:dyDescent="0.2">
      <c r="B11" s="3">
        <v>7</v>
      </c>
      <c r="C11" s="47" t="s">
        <v>21</v>
      </c>
      <c r="D11" s="52">
        <v>1.02</v>
      </c>
      <c r="E11" s="42">
        <f t="shared" si="2"/>
        <v>0.98039215686274506</v>
      </c>
      <c r="F11" s="6">
        <f t="shared" si="3"/>
        <v>0.78039215686274499</v>
      </c>
      <c r="G11" s="53">
        <f t="shared" si="4"/>
        <v>1.2814070351758795</v>
      </c>
      <c r="H11" s="52">
        <v>0</v>
      </c>
      <c r="I11" s="52" t="s">
        <v>7</v>
      </c>
      <c r="J11" s="26">
        <f t="shared" si="0"/>
        <v>0</v>
      </c>
      <c r="K11" s="27">
        <f t="shared" si="1"/>
        <v>0</v>
      </c>
    </row>
    <row r="12" spans="2:11" ht="16" thickBot="1" x14ac:dyDescent="0.25">
      <c r="B12" s="4">
        <v>8</v>
      </c>
      <c r="C12" s="48" t="s">
        <v>22</v>
      </c>
      <c r="D12" s="9">
        <v>1.74</v>
      </c>
      <c r="E12" s="43">
        <f t="shared" si="2"/>
        <v>0.57471264367816088</v>
      </c>
      <c r="F12" s="10">
        <f t="shared" si="3"/>
        <v>0.37471264367816087</v>
      </c>
      <c r="G12" s="12">
        <v>2.68</v>
      </c>
      <c r="H12" s="9">
        <v>1</v>
      </c>
      <c r="I12" s="9" t="s">
        <v>7</v>
      </c>
      <c r="J12" s="28">
        <f>IF(H12=0,0,IF(I12="WON",(G12-1)*0.94,-1))</f>
        <v>1.5792000000000002</v>
      </c>
      <c r="K12" s="29">
        <f t="shared" si="1"/>
        <v>87.724560000000011</v>
      </c>
    </row>
    <row r="13" spans="2:11" x14ac:dyDescent="0.2">
      <c r="B13" s="57">
        <v>9</v>
      </c>
      <c r="C13" s="57" t="s">
        <v>34</v>
      </c>
      <c r="D13" s="58">
        <v>1.2</v>
      </c>
      <c r="E13" s="41">
        <f t="shared" ref="E13:E30" si="5">1/D13</f>
        <v>0.83333333333333337</v>
      </c>
      <c r="F13" s="21">
        <f t="shared" ref="F13:F30" si="6">E13-0.2</f>
        <v>0.6333333333333333</v>
      </c>
      <c r="G13" s="59">
        <f t="shared" ref="G13:G20" si="7">1/F13</f>
        <v>1.5789473684210527</v>
      </c>
      <c r="H13" s="23">
        <v>0</v>
      </c>
      <c r="I13" s="23" t="s">
        <v>7</v>
      </c>
      <c r="J13" s="24">
        <f>IF(H13=0,0,IF(I13="WON",(G13-1)*0.95,-1))</f>
        <v>0</v>
      </c>
      <c r="K13" s="25">
        <f t="shared" ref="K13:K22" si="8">J13*J$3</f>
        <v>0</v>
      </c>
    </row>
    <row r="14" spans="2:11" x14ac:dyDescent="0.2">
      <c r="B14" s="44">
        <v>10</v>
      </c>
      <c r="C14" s="44" t="s">
        <v>16</v>
      </c>
      <c r="D14" s="5">
        <v>1.52</v>
      </c>
      <c r="E14" s="42">
        <f t="shared" si="5"/>
        <v>0.65789473684210531</v>
      </c>
      <c r="F14" s="6">
        <f t="shared" si="6"/>
        <v>0.4578947368421053</v>
      </c>
      <c r="G14" s="49">
        <f t="shared" si="7"/>
        <v>2.1839080459770113</v>
      </c>
      <c r="H14" s="52">
        <v>1</v>
      </c>
      <c r="I14" s="52" t="s">
        <v>7</v>
      </c>
      <c r="J14" s="26">
        <f>IF(H14=0,0,IF(I14="WON",(G14-1)*0.94,-1))</f>
        <v>1.1128735632183906</v>
      </c>
      <c r="K14" s="27">
        <f t="shared" si="8"/>
        <v>61.820126436781592</v>
      </c>
    </row>
    <row r="15" spans="2:11" x14ac:dyDescent="0.2">
      <c r="B15" s="44">
        <v>11</v>
      </c>
      <c r="C15" s="44" t="s">
        <v>18</v>
      </c>
      <c r="D15" s="5">
        <v>1.1499999999999999</v>
      </c>
      <c r="E15" s="42">
        <f t="shared" si="5"/>
        <v>0.86956521739130443</v>
      </c>
      <c r="F15" s="6">
        <f t="shared" si="6"/>
        <v>0.66956521739130448</v>
      </c>
      <c r="G15" s="49">
        <f t="shared" si="7"/>
        <v>1.4935064935064932</v>
      </c>
      <c r="H15" s="52">
        <v>1</v>
      </c>
      <c r="I15" s="52" t="s">
        <v>7</v>
      </c>
      <c r="J15" s="26">
        <f t="shared" ref="J15:J21" si="9">IF(H15=0,0,IF(I15="WON",(G15-1)*0.95,-1))</f>
        <v>0.46883116883116854</v>
      </c>
      <c r="K15" s="27">
        <f t="shared" si="8"/>
        <v>26.043571428571411</v>
      </c>
    </row>
    <row r="16" spans="2:11" x14ac:dyDescent="0.2">
      <c r="B16" s="44">
        <v>12</v>
      </c>
      <c r="C16" s="44" t="s">
        <v>35</v>
      </c>
      <c r="D16" s="5">
        <v>1.27</v>
      </c>
      <c r="E16" s="42">
        <f t="shared" si="5"/>
        <v>0.78740157480314954</v>
      </c>
      <c r="F16" s="6">
        <f t="shared" si="6"/>
        <v>0.58740157480314958</v>
      </c>
      <c r="G16" s="49">
        <f t="shared" si="7"/>
        <v>1.7024128686327078</v>
      </c>
      <c r="H16" s="52">
        <v>1</v>
      </c>
      <c r="I16" s="52" t="s">
        <v>11</v>
      </c>
      <c r="J16" s="26">
        <f t="shared" si="9"/>
        <v>-1</v>
      </c>
      <c r="K16" s="27">
        <f t="shared" si="8"/>
        <v>-55.55</v>
      </c>
    </row>
    <row r="17" spans="2:11" x14ac:dyDescent="0.2">
      <c r="B17" s="44">
        <v>13</v>
      </c>
      <c r="C17" s="44" t="s">
        <v>19</v>
      </c>
      <c r="D17" s="5">
        <v>1.77</v>
      </c>
      <c r="E17" s="42">
        <f t="shared" si="5"/>
        <v>0.56497175141242939</v>
      </c>
      <c r="F17" s="6">
        <f t="shared" si="6"/>
        <v>0.36497175141242938</v>
      </c>
      <c r="G17" s="49">
        <f t="shared" si="7"/>
        <v>2.7399380804953561</v>
      </c>
      <c r="H17" s="52">
        <v>0</v>
      </c>
      <c r="I17" s="52" t="s">
        <v>7</v>
      </c>
      <c r="J17" s="26">
        <f t="shared" si="9"/>
        <v>0</v>
      </c>
      <c r="K17" s="27">
        <f t="shared" si="8"/>
        <v>0</v>
      </c>
    </row>
    <row r="18" spans="2:11" x14ac:dyDescent="0.2">
      <c r="B18" s="44">
        <v>14</v>
      </c>
      <c r="C18" s="44" t="s">
        <v>22</v>
      </c>
      <c r="D18" s="5">
        <v>1.72</v>
      </c>
      <c r="E18" s="42">
        <f t="shared" si="5"/>
        <v>0.58139534883720934</v>
      </c>
      <c r="F18" s="6">
        <f t="shared" si="6"/>
        <v>0.38139534883720932</v>
      </c>
      <c r="G18" s="49">
        <f t="shared" si="7"/>
        <v>2.6219512195121948</v>
      </c>
      <c r="H18" s="52">
        <v>0</v>
      </c>
      <c r="I18" s="52" t="s">
        <v>7</v>
      </c>
      <c r="J18" s="26">
        <f t="shared" si="9"/>
        <v>0</v>
      </c>
      <c r="K18" s="27">
        <f t="shared" si="8"/>
        <v>0</v>
      </c>
    </row>
    <row r="19" spans="2:11" x14ac:dyDescent="0.2">
      <c r="B19" s="44">
        <v>15</v>
      </c>
      <c r="C19" s="44" t="s">
        <v>36</v>
      </c>
      <c r="D19" s="5">
        <v>1.0900000000000001</v>
      </c>
      <c r="E19" s="42">
        <f t="shared" si="5"/>
        <v>0.9174311926605504</v>
      </c>
      <c r="F19" s="6">
        <f t="shared" si="6"/>
        <v>0.71743119266055033</v>
      </c>
      <c r="G19" s="49">
        <f t="shared" si="7"/>
        <v>1.3938618925831205</v>
      </c>
      <c r="H19" s="52">
        <v>0</v>
      </c>
      <c r="I19" s="52" t="s">
        <v>7</v>
      </c>
      <c r="J19" s="26">
        <f t="shared" si="9"/>
        <v>0</v>
      </c>
      <c r="K19" s="27">
        <f t="shared" si="8"/>
        <v>0</v>
      </c>
    </row>
    <row r="20" spans="2:11" x14ac:dyDescent="0.2">
      <c r="B20" s="44">
        <v>16</v>
      </c>
      <c r="C20" s="44" t="s">
        <v>37</v>
      </c>
      <c r="D20" s="5">
        <v>1.1200000000000001</v>
      </c>
      <c r="E20" s="42">
        <f t="shared" si="5"/>
        <v>0.89285714285714279</v>
      </c>
      <c r="F20" s="6">
        <f t="shared" si="6"/>
        <v>0.69285714285714284</v>
      </c>
      <c r="G20" s="49">
        <f t="shared" si="7"/>
        <v>1.4432989690721649</v>
      </c>
      <c r="H20" s="52">
        <v>0</v>
      </c>
      <c r="I20" s="52" t="s">
        <v>7</v>
      </c>
      <c r="J20" s="26">
        <f t="shared" si="9"/>
        <v>0</v>
      </c>
      <c r="K20" s="27">
        <f t="shared" si="8"/>
        <v>0</v>
      </c>
    </row>
    <row r="21" spans="2:11" ht="16" thickBot="1" x14ac:dyDescent="0.25">
      <c r="B21" s="45">
        <v>17</v>
      </c>
      <c r="C21" s="45" t="s">
        <v>38</v>
      </c>
      <c r="D21" s="11">
        <v>1.8</v>
      </c>
      <c r="E21" s="43">
        <f t="shared" si="5"/>
        <v>0.55555555555555558</v>
      </c>
      <c r="F21" s="10">
        <f t="shared" si="6"/>
        <v>0.35555555555555557</v>
      </c>
      <c r="G21" s="50">
        <v>2.82</v>
      </c>
      <c r="H21" s="9">
        <v>0</v>
      </c>
      <c r="I21" s="9" t="s">
        <v>7</v>
      </c>
      <c r="J21" s="26">
        <f t="shared" si="9"/>
        <v>0</v>
      </c>
      <c r="K21" s="27">
        <f t="shared" si="8"/>
        <v>0</v>
      </c>
    </row>
    <row r="22" spans="2:11" x14ac:dyDescent="0.2">
      <c r="B22" s="46">
        <v>18</v>
      </c>
      <c r="C22" s="66" t="s">
        <v>49</v>
      </c>
      <c r="D22" s="58">
        <v>1.64</v>
      </c>
      <c r="E22" s="41">
        <f t="shared" si="5"/>
        <v>0.6097560975609756</v>
      </c>
      <c r="F22" s="60">
        <f t="shared" si="6"/>
        <v>0.40975609756097559</v>
      </c>
      <c r="G22" s="59">
        <f>1/F22</f>
        <v>2.4404761904761907</v>
      </c>
      <c r="H22" s="23">
        <v>1</v>
      </c>
      <c r="I22" s="65" t="s">
        <v>7</v>
      </c>
      <c r="J22" s="24">
        <f>IF(H22=0,0,IF(I22="WON",(G22-1)*0.94,-1))</f>
        <v>1.3540476190476192</v>
      </c>
      <c r="K22" s="25">
        <f t="shared" si="8"/>
        <v>75.217345238095234</v>
      </c>
    </row>
    <row r="23" spans="2:11" x14ac:dyDescent="0.2">
      <c r="B23" s="47">
        <v>19</v>
      </c>
      <c r="C23" s="67" t="s">
        <v>36</v>
      </c>
      <c r="D23" s="5">
        <v>1.59</v>
      </c>
      <c r="E23" s="42">
        <f t="shared" si="5"/>
        <v>0.62893081761006286</v>
      </c>
      <c r="F23" s="56">
        <f t="shared" si="6"/>
        <v>0.42893081761006285</v>
      </c>
      <c r="G23" s="49">
        <v>2.34</v>
      </c>
      <c r="H23" s="52">
        <v>0</v>
      </c>
      <c r="I23" s="69" t="s">
        <v>7</v>
      </c>
      <c r="J23" s="26">
        <f t="shared" ref="J23:J30" si="10">IF(H23=0,0,IF(I23="WON",(G23-1)*0.95,-1))</f>
        <v>0</v>
      </c>
      <c r="K23" s="27">
        <f t="shared" ref="K23:K30" si="11">J23*J$3</f>
        <v>0</v>
      </c>
    </row>
    <row r="24" spans="2:11" x14ac:dyDescent="0.2">
      <c r="B24" s="47">
        <v>20</v>
      </c>
      <c r="C24" s="67" t="s">
        <v>19</v>
      </c>
      <c r="D24" s="5">
        <v>1.3</v>
      </c>
      <c r="E24" s="42">
        <f t="shared" si="5"/>
        <v>0.76923076923076916</v>
      </c>
      <c r="F24" s="56">
        <f t="shared" si="6"/>
        <v>0.56923076923076921</v>
      </c>
      <c r="G24" s="49">
        <f t="shared" ref="G24:G30" si="12">1/F24</f>
        <v>1.7567567567567568</v>
      </c>
      <c r="H24" s="52">
        <v>0</v>
      </c>
      <c r="I24" s="69" t="s">
        <v>7</v>
      </c>
      <c r="J24" s="26">
        <f t="shared" si="10"/>
        <v>0</v>
      </c>
      <c r="K24" s="27">
        <f t="shared" si="11"/>
        <v>0</v>
      </c>
    </row>
    <row r="25" spans="2:11" x14ac:dyDescent="0.2">
      <c r="B25" s="47">
        <v>21</v>
      </c>
      <c r="C25" s="67" t="s">
        <v>20</v>
      </c>
      <c r="D25" s="5">
        <v>1.1200000000000001</v>
      </c>
      <c r="E25" s="42">
        <f t="shared" si="5"/>
        <v>0.89285714285714279</v>
      </c>
      <c r="F25" s="56">
        <f t="shared" si="6"/>
        <v>0.69285714285714284</v>
      </c>
      <c r="G25" s="49">
        <f t="shared" si="12"/>
        <v>1.4432989690721649</v>
      </c>
      <c r="H25" s="52">
        <v>1</v>
      </c>
      <c r="I25" s="69" t="s">
        <v>7</v>
      </c>
      <c r="J25" s="26">
        <f>IF(H25=0,0,IF(I25="WON",(G25-1)*0.94,-1))</f>
        <v>0.416701030927835</v>
      </c>
      <c r="K25" s="27">
        <f t="shared" si="11"/>
        <v>23.147742268041235</v>
      </c>
    </row>
    <row r="26" spans="2:11" x14ac:dyDescent="0.2">
      <c r="B26" s="47">
        <v>22</v>
      </c>
      <c r="C26" s="67" t="s">
        <v>22</v>
      </c>
      <c r="D26" s="5">
        <v>1.1499999999999999</v>
      </c>
      <c r="E26" s="42">
        <f t="shared" si="5"/>
        <v>0.86956521739130443</v>
      </c>
      <c r="F26" s="56">
        <f t="shared" si="6"/>
        <v>0.66956521739130448</v>
      </c>
      <c r="G26" s="49">
        <v>1.5</v>
      </c>
      <c r="H26" s="52">
        <v>0</v>
      </c>
      <c r="I26" s="70" t="s">
        <v>7</v>
      </c>
      <c r="J26" s="26">
        <f t="shared" si="10"/>
        <v>0</v>
      </c>
      <c r="K26" s="27">
        <f t="shared" si="11"/>
        <v>0</v>
      </c>
    </row>
    <row r="27" spans="2:11" x14ac:dyDescent="0.2">
      <c r="B27" s="47">
        <v>23</v>
      </c>
      <c r="C27" s="67" t="s">
        <v>34</v>
      </c>
      <c r="D27" s="5">
        <v>1.72</v>
      </c>
      <c r="E27" s="42">
        <f t="shared" si="5"/>
        <v>0.58139534883720934</v>
      </c>
      <c r="F27" s="56">
        <f t="shared" si="6"/>
        <v>0.38139534883720932</v>
      </c>
      <c r="G27" s="49">
        <f t="shared" si="12"/>
        <v>2.6219512195121948</v>
      </c>
      <c r="H27" s="52">
        <v>1</v>
      </c>
      <c r="I27" s="70" t="s">
        <v>7</v>
      </c>
      <c r="J27" s="26">
        <f>IF(H27=0,0,IF(I27="WON",(G27-1)*0.94,-1))</f>
        <v>1.524634146341463</v>
      </c>
      <c r="K27" s="27">
        <f t="shared" si="11"/>
        <v>84.693426829268262</v>
      </c>
    </row>
    <row r="28" spans="2:11" x14ac:dyDescent="0.2">
      <c r="B28" s="47">
        <v>24</v>
      </c>
      <c r="C28" s="67" t="s">
        <v>50</v>
      </c>
      <c r="D28" s="5">
        <v>1.3</v>
      </c>
      <c r="E28" s="42">
        <f t="shared" si="5"/>
        <v>0.76923076923076916</v>
      </c>
      <c r="F28" s="56">
        <f t="shared" si="6"/>
        <v>0.56923076923076921</v>
      </c>
      <c r="G28" s="49">
        <f t="shared" si="12"/>
        <v>1.7567567567567568</v>
      </c>
      <c r="I28" s="61"/>
      <c r="J28" s="26">
        <f t="shared" si="10"/>
        <v>0</v>
      </c>
      <c r="K28" s="27">
        <f t="shared" si="11"/>
        <v>0</v>
      </c>
    </row>
    <row r="29" spans="2:11" x14ac:dyDescent="0.2">
      <c r="B29" s="47">
        <v>25</v>
      </c>
      <c r="C29" s="67" t="s">
        <v>18</v>
      </c>
      <c r="D29" s="5">
        <v>1.36</v>
      </c>
      <c r="E29" s="42">
        <f t="shared" si="5"/>
        <v>0.73529411764705876</v>
      </c>
      <c r="F29" s="56">
        <f t="shared" si="6"/>
        <v>0.5352941176470587</v>
      </c>
      <c r="G29" s="49">
        <f t="shared" si="12"/>
        <v>1.8681318681318686</v>
      </c>
      <c r="I29" s="61"/>
      <c r="J29" s="26">
        <f t="shared" si="10"/>
        <v>0</v>
      </c>
      <c r="K29" s="27">
        <f t="shared" si="11"/>
        <v>0</v>
      </c>
    </row>
    <row r="30" spans="2:11" ht="16" thickBot="1" x14ac:dyDescent="0.25">
      <c r="B30" s="48">
        <v>26</v>
      </c>
      <c r="C30" s="68" t="s">
        <v>16</v>
      </c>
      <c r="D30" s="11">
        <v>1.1100000000000001</v>
      </c>
      <c r="E30" s="43">
        <f t="shared" si="5"/>
        <v>0.9009009009009008</v>
      </c>
      <c r="F30" s="62">
        <f t="shared" si="6"/>
        <v>0.70090090090090085</v>
      </c>
      <c r="G30" s="50">
        <f t="shared" si="12"/>
        <v>1.4267352185089976</v>
      </c>
      <c r="H30" s="63"/>
      <c r="I30" s="64"/>
      <c r="J30" s="28">
        <f t="shared" si="10"/>
        <v>0</v>
      </c>
      <c r="K30" s="29">
        <f t="shared" si="11"/>
        <v>0</v>
      </c>
    </row>
  </sheetData>
  <pageMargins left="0.7" right="0.7" top="0.75" bottom="0.75" header="0.3" footer="0.3"/>
  <pageSetup paperSize="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CAAB2-0352-4756-9D08-D38A00F624F2}">
  <dimension ref="B2:L12"/>
  <sheetViews>
    <sheetView zoomScale="165" workbookViewId="0">
      <selection activeCell="K12" sqref="K5:K12"/>
    </sheetView>
  </sheetViews>
  <sheetFormatPr baseColWidth="10" defaultColWidth="8.83203125" defaultRowHeight="15" x14ac:dyDescent="0.2"/>
  <cols>
    <col min="3" max="3" width="14.33203125" bestFit="1" customWidth="1"/>
    <col min="9" max="9" width="12" bestFit="1" customWidth="1"/>
  </cols>
  <sheetData>
    <row r="2" spans="2:12" x14ac:dyDescent="0.2">
      <c r="B2" t="s">
        <v>46</v>
      </c>
    </row>
    <row r="3" spans="2:12" ht="16" thickBot="1" x14ac:dyDescent="0.25">
      <c r="B3" s="1"/>
      <c r="C3" s="1"/>
      <c r="D3" t="s">
        <v>40</v>
      </c>
      <c r="I3" s="7" t="s">
        <v>9</v>
      </c>
      <c r="J3" s="8">
        <v>55.55</v>
      </c>
      <c r="K3" s="8"/>
    </row>
    <row r="4" spans="2:12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2" ht="16" thickBot="1" x14ac:dyDescent="0.25">
      <c r="B5" s="2">
        <v>1</v>
      </c>
      <c r="C5" s="30" t="s">
        <v>39</v>
      </c>
      <c r="D5" s="31">
        <v>1.78</v>
      </c>
      <c r="E5" s="20">
        <f>1/D5</f>
        <v>0.5617977528089888</v>
      </c>
      <c r="F5" s="21">
        <f>E5-0.2</f>
        <v>0.36179775280898879</v>
      </c>
      <c r="G5" s="22">
        <f>1/F5</f>
        <v>2.7639751552795029</v>
      </c>
      <c r="H5" s="30">
        <v>1</v>
      </c>
      <c r="I5" s="31" t="s">
        <v>7</v>
      </c>
      <c r="J5" s="15">
        <f>IF(H5=0,0,IF(I5="WON",(G5-1),-1))</f>
        <v>1.7639751552795029</v>
      </c>
      <c r="K5" s="25">
        <f>J5*J$3*0.94-0.21</f>
        <v>91.8994906832298</v>
      </c>
      <c r="L5" s="51"/>
    </row>
    <row r="6" spans="2:12" ht="16" thickBot="1" x14ac:dyDescent="0.25">
      <c r="B6" s="2">
        <v>2</v>
      </c>
      <c r="C6" s="30" t="s">
        <v>41</v>
      </c>
      <c r="D6" s="31">
        <v>1.56</v>
      </c>
      <c r="E6" s="20">
        <f>1/D6</f>
        <v>0.64102564102564097</v>
      </c>
      <c r="F6" s="21">
        <f>E6-0.2</f>
        <v>0.44102564102564096</v>
      </c>
      <c r="G6" s="22">
        <v>2.2799999999999998</v>
      </c>
      <c r="H6" s="30">
        <v>1</v>
      </c>
      <c r="I6" s="31" t="s">
        <v>11</v>
      </c>
      <c r="J6" s="15">
        <f>IF(H6=0,0,IF(I6="WON",(G6-1),-1))</f>
        <v>-1</v>
      </c>
      <c r="K6" s="25">
        <f>J6*J$3</f>
        <v>-55.55</v>
      </c>
      <c r="L6" s="51"/>
    </row>
    <row r="7" spans="2:12" ht="16" thickBot="1" x14ac:dyDescent="0.25">
      <c r="B7" s="2">
        <v>3</v>
      </c>
      <c r="C7" s="54" t="s">
        <v>42</v>
      </c>
      <c r="D7" s="31">
        <v>1.1100000000000001</v>
      </c>
      <c r="E7" s="20">
        <f t="shared" ref="E7:E10" si="0">1/D7</f>
        <v>0.9009009009009008</v>
      </c>
      <c r="F7" s="21">
        <f t="shared" ref="F7:F10" si="1">E7-0.2</f>
        <v>0.70090090090090085</v>
      </c>
      <c r="G7" s="22">
        <f t="shared" ref="G7:G8" si="2">1/F7</f>
        <v>1.4267352185089976</v>
      </c>
      <c r="H7" s="30">
        <v>0</v>
      </c>
      <c r="I7" s="31" t="s">
        <v>7</v>
      </c>
      <c r="J7" s="15">
        <f t="shared" ref="J7:J8" si="3">IF(H7=0,0,IF(I7="WON",(G7-1),-1))</f>
        <v>0</v>
      </c>
      <c r="K7" s="25">
        <f t="shared" ref="K7:K10" si="4">J7*J$3</f>
        <v>0</v>
      </c>
    </row>
    <row r="8" spans="2:12" ht="16" thickBot="1" x14ac:dyDescent="0.25">
      <c r="B8" s="2">
        <v>4</v>
      </c>
      <c r="C8" s="54" t="s">
        <v>43</v>
      </c>
      <c r="D8" s="31">
        <v>1.42</v>
      </c>
      <c r="E8" s="20">
        <f t="shared" si="0"/>
        <v>0.70422535211267612</v>
      </c>
      <c r="F8" s="21">
        <f t="shared" si="1"/>
        <v>0.50422535211267605</v>
      </c>
      <c r="G8" s="22">
        <f t="shared" si="2"/>
        <v>1.9832402234636872</v>
      </c>
      <c r="H8" s="30">
        <v>0</v>
      </c>
      <c r="I8" s="31" t="s">
        <v>7</v>
      </c>
      <c r="J8" s="15">
        <f t="shared" si="3"/>
        <v>0</v>
      </c>
      <c r="K8" s="25">
        <f t="shared" si="4"/>
        <v>0</v>
      </c>
    </row>
    <row r="9" spans="2:12" ht="16" thickBot="1" x14ac:dyDescent="0.25">
      <c r="B9" s="2">
        <v>5</v>
      </c>
      <c r="C9" s="54" t="s">
        <v>44</v>
      </c>
      <c r="D9" s="31">
        <v>1.33</v>
      </c>
      <c r="E9" s="20">
        <f t="shared" si="0"/>
        <v>0.75187969924812026</v>
      </c>
      <c r="F9" s="21">
        <f t="shared" si="1"/>
        <v>0.5518796992481203</v>
      </c>
      <c r="G9" s="22">
        <f t="shared" ref="G9:G10" si="5">1/F9</f>
        <v>1.8119891008174387</v>
      </c>
      <c r="H9" s="30">
        <v>0</v>
      </c>
      <c r="I9" s="31" t="s">
        <v>11</v>
      </c>
      <c r="J9" s="15">
        <f t="shared" ref="J9:J10" si="6">IF(H9=0,0,IF(I9="WON",(G9-1),-1))</f>
        <v>0</v>
      </c>
      <c r="K9" s="25">
        <f t="shared" si="4"/>
        <v>0</v>
      </c>
    </row>
    <row r="10" spans="2:12" ht="16" thickBot="1" x14ac:dyDescent="0.25">
      <c r="B10" s="2">
        <v>6</v>
      </c>
      <c r="C10" s="54" t="s">
        <v>45</v>
      </c>
      <c r="D10" s="31">
        <v>1.33</v>
      </c>
      <c r="E10" s="20">
        <f t="shared" si="0"/>
        <v>0.75187969924812026</v>
      </c>
      <c r="F10" s="21">
        <f t="shared" si="1"/>
        <v>0.5518796992481203</v>
      </c>
      <c r="G10" s="22">
        <f t="shared" si="5"/>
        <v>1.8119891008174387</v>
      </c>
      <c r="H10" s="30">
        <v>0</v>
      </c>
      <c r="I10" s="31" t="s">
        <v>7</v>
      </c>
      <c r="J10" s="15">
        <f t="shared" si="6"/>
        <v>0</v>
      </c>
      <c r="K10" s="25">
        <f t="shared" si="4"/>
        <v>0</v>
      </c>
    </row>
    <row r="11" spans="2:12" ht="16" thickBot="1" x14ac:dyDescent="0.25">
      <c r="B11" s="2">
        <v>7</v>
      </c>
      <c r="C11" s="54" t="s">
        <v>47</v>
      </c>
      <c r="D11" s="31">
        <v>1.75</v>
      </c>
      <c r="E11" s="20">
        <f t="shared" ref="E11" si="7">1/D11</f>
        <v>0.5714285714285714</v>
      </c>
      <c r="F11" s="21">
        <f t="shared" ref="F11" si="8">E11-0.2</f>
        <v>0.37142857142857139</v>
      </c>
      <c r="G11" s="22">
        <v>2.7</v>
      </c>
      <c r="H11" s="30">
        <v>1</v>
      </c>
      <c r="I11" s="31" t="s">
        <v>11</v>
      </c>
      <c r="J11" s="15">
        <f t="shared" ref="J11" si="9">IF(H11=0,0,IF(I11="WON",(G11-1),-1))</f>
        <v>-1</v>
      </c>
      <c r="K11" s="25">
        <f t="shared" ref="K11" si="10">J11*J$3</f>
        <v>-55.55</v>
      </c>
    </row>
    <row r="12" spans="2:12" x14ac:dyDescent="0.2">
      <c r="B12" s="2">
        <v>8</v>
      </c>
      <c r="C12" s="54" t="s">
        <v>47</v>
      </c>
      <c r="D12" s="31">
        <v>2.75</v>
      </c>
      <c r="E12" s="20">
        <f t="shared" ref="E12" si="11">1/D12</f>
        <v>0.36363636363636365</v>
      </c>
      <c r="F12" s="21">
        <f t="shared" ref="F12" si="12">E12-0.2</f>
        <v>0.16363636363636364</v>
      </c>
      <c r="G12" s="22">
        <f>1/F12</f>
        <v>6.1111111111111107</v>
      </c>
      <c r="H12" s="30">
        <v>1</v>
      </c>
      <c r="I12" s="31" t="s">
        <v>11</v>
      </c>
      <c r="J12" s="15">
        <f t="shared" ref="J12" si="13">IF(H12=0,0,IF(I12="WON",(G12-1),-1))</f>
        <v>-1</v>
      </c>
      <c r="K12" s="25">
        <f t="shared" ref="K12" si="14">J12*J$3</f>
        <v>-55.55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6120F-3D79-45D2-9E7F-690D79FF71F4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cols>
    <col min="3" max="3" width="13.6640625" bestFit="1" customWidth="1"/>
  </cols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DAF7-1BB4-48D6-89E7-0AED41AA649D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A0578-228A-4ECA-BD97-9526260EC85E}">
  <dimension ref="B2:K5"/>
  <sheetViews>
    <sheetView zoomScale="165" workbookViewId="0">
      <selection activeCell="B2" sqref="B2"/>
    </sheetView>
  </sheetViews>
  <sheetFormatPr baseColWidth="10" defaultColWidth="8.83203125" defaultRowHeight="15" x14ac:dyDescent="0.2"/>
  <sheetData>
    <row r="2" spans="2:11" x14ac:dyDescent="0.2">
      <c r="B2" t="s">
        <v>10</v>
      </c>
    </row>
    <row r="3" spans="2:11" ht="16" thickBot="1" x14ac:dyDescent="0.25">
      <c r="B3" s="1"/>
      <c r="C3" s="1"/>
      <c r="I3" s="7" t="s">
        <v>9</v>
      </c>
      <c r="J3" s="8">
        <v>55.55</v>
      </c>
      <c r="K3" s="8"/>
    </row>
    <row r="4" spans="2:11" ht="16" thickBot="1" x14ac:dyDescent="0.25">
      <c r="B4" s="13" t="s">
        <v>0</v>
      </c>
      <c r="C4" s="13" t="s">
        <v>13</v>
      </c>
      <c r="D4" s="16" t="s">
        <v>2</v>
      </c>
      <c r="E4" s="13" t="s">
        <v>3</v>
      </c>
      <c r="F4" s="17" t="s">
        <v>4</v>
      </c>
      <c r="G4" s="18" t="s">
        <v>5</v>
      </c>
      <c r="H4" s="18" t="s">
        <v>1</v>
      </c>
      <c r="I4" s="19" t="s">
        <v>6</v>
      </c>
      <c r="J4" s="14" t="s">
        <v>8</v>
      </c>
      <c r="K4" s="14" t="s">
        <v>12</v>
      </c>
    </row>
    <row r="5" spans="2:11" x14ac:dyDescent="0.2">
      <c r="B5" s="2">
        <v>1</v>
      </c>
      <c r="C5" s="30" t="s">
        <v>23</v>
      </c>
      <c r="D5" s="31"/>
      <c r="E5" s="20" t="e">
        <f>1/D5</f>
        <v>#DIV/0!</v>
      </c>
      <c r="F5" s="21" t="e">
        <f>E5-0.2</f>
        <v>#DIV/0!</v>
      </c>
      <c r="G5" s="22" t="e">
        <f>1/F5</f>
        <v>#DIV/0!</v>
      </c>
      <c r="H5" s="30">
        <v>1</v>
      </c>
      <c r="I5" s="31" t="s">
        <v>7</v>
      </c>
      <c r="J5" s="15" t="e">
        <f>IF(H5=0,0,IF(I5="WON",(G5-1)*0.95,-1))</f>
        <v>#DIV/0!</v>
      </c>
      <c r="K5" s="25" t="e">
        <f>J5*J$3</f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F4CAB-11EC-4DB3-9BD6-AF06D08A4FD3}">
  <dimension ref="B2:N6"/>
  <sheetViews>
    <sheetView zoomScale="147" workbookViewId="0">
      <selection activeCell="I7" sqref="I7"/>
    </sheetView>
  </sheetViews>
  <sheetFormatPr baseColWidth="10" defaultColWidth="8.83203125" defaultRowHeight="15" x14ac:dyDescent="0.2"/>
  <cols>
    <col min="2" max="14" width="10.6640625" customWidth="1"/>
  </cols>
  <sheetData>
    <row r="2" spans="2:14" x14ac:dyDescent="0.2">
      <c r="B2" t="s">
        <v>33</v>
      </c>
    </row>
    <row r="3" spans="2:14" ht="16" thickBot="1" x14ac:dyDescent="0.25">
      <c r="B3" s="1"/>
      <c r="C3" s="1"/>
      <c r="D3" s="1"/>
      <c r="E3" s="1"/>
      <c r="K3" s="32" t="s">
        <v>30</v>
      </c>
      <c r="L3" s="7"/>
      <c r="M3" s="39"/>
      <c r="N3" s="39"/>
    </row>
    <row r="4" spans="2:14" ht="16" thickBot="1" x14ac:dyDescent="0.25">
      <c r="B4" s="13" t="s">
        <v>0</v>
      </c>
      <c r="C4" s="13" t="s">
        <v>48</v>
      </c>
      <c r="D4" s="13" t="s">
        <v>25</v>
      </c>
      <c r="E4" s="33" t="s">
        <v>26</v>
      </c>
      <c r="F4" s="13" t="s">
        <v>27</v>
      </c>
      <c r="G4" s="34" t="s">
        <v>28</v>
      </c>
      <c r="H4" s="17" t="s">
        <v>31</v>
      </c>
      <c r="I4" s="13" t="s">
        <v>29</v>
      </c>
      <c r="J4" s="13" t="s">
        <v>32</v>
      </c>
      <c r="K4" s="14" t="s">
        <v>24</v>
      </c>
      <c r="L4" s="14" t="s">
        <v>12</v>
      </c>
    </row>
    <row r="5" spans="2:14" ht="16" thickBot="1" x14ac:dyDescent="0.25">
      <c r="B5" s="2">
        <v>1</v>
      </c>
      <c r="C5" s="55">
        <v>46150</v>
      </c>
      <c r="D5" s="35">
        <v>555</v>
      </c>
      <c r="E5" s="35">
        <v>570</v>
      </c>
      <c r="F5" s="35">
        <v>630</v>
      </c>
      <c r="G5" s="35">
        <v>645</v>
      </c>
      <c r="H5" s="36">
        <v>0.96</v>
      </c>
      <c r="I5" s="37">
        <v>571</v>
      </c>
      <c r="J5" s="36">
        <f t="shared" ref="J5:J6" si="0">IF(AND(I5&lt;=F5,I5&gt;=E5),0,IF(I5&lt;E5,MAX(I5-E5,D5-E5),MAX(F5-I5,F5-G5)))</f>
        <v>0</v>
      </c>
      <c r="K5" s="40">
        <v>0.3</v>
      </c>
      <c r="L5" s="38">
        <f t="shared" ref="L5:L6" si="1">(H5+J5)*100-K5</f>
        <v>95.7</v>
      </c>
    </row>
    <row r="6" spans="2:14" x14ac:dyDescent="0.2">
      <c r="B6" s="2">
        <v>2</v>
      </c>
      <c r="C6" s="55">
        <v>46157</v>
      </c>
      <c r="D6" s="35">
        <v>570</v>
      </c>
      <c r="E6" s="35">
        <v>585</v>
      </c>
      <c r="F6" s="35">
        <v>645</v>
      </c>
      <c r="G6" s="35">
        <v>660</v>
      </c>
      <c r="H6" s="36">
        <v>0.96</v>
      </c>
      <c r="I6" s="37">
        <v>540</v>
      </c>
      <c r="J6" s="36">
        <f t="shared" si="0"/>
        <v>-15</v>
      </c>
      <c r="K6" s="40">
        <v>0.3</v>
      </c>
      <c r="L6" s="38">
        <f t="shared" si="1"/>
        <v>-1404.3</v>
      </c>
    </row>
  </sheetData>
  <conditionalFormatting sqref="L5:L103">
    <cfRule type="cellIs" dxfId="1" priority="2" operator="lessThan">
      <formula>0</formula>
    </cfRule>
  </conditionalFormatting>
  <conditionalFormatting sqref="L5:L104857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AFL</vt:lpstr>
      <vt:lpstr>Tennis</vt:lpstr>
      <vt:lpstr>Cricket</vt:lpstr>
      <vt:lpstr>Basketball</vt:lpstr>
      <vt:lpstr>NFL</vt:lpstr>
      <vt:lpstr>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Zandi</dc:creator>
  <cp:lastModifiedBy>Tim Zandi</cp:lastModifiedBy>
  <cp:lastPrinted>2026-04-02T11:09:08Z</cp:lastPrinted>
  <dcterms:created xsi:type="dcterms:W3CDTF">2026-04-02T10:33:03Z</dcterms:created>
  <dcterms:modified xsi:type="dcterms:W3CDTF">2026-04-18T11:30:42Z</dcterms:modified>
</cp:coreProperties>
</file>