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AD8ED8E3-EEED-C245-86E3-D18F436AB236}" xr6:coauthVersionLast="47" xr6:coauthVersionMax="47" xr10:uidLastSave="{00000000-0000-0000-0000-000000000000}"/>
  <bookViews>
    <workbookView xWindow="0" yWindow="500" windowWidth="38400" windowHeight="194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6" i="1"/>
  <c r="J47" i="1"/>
  <c r="J46" i="1"/>
  <c r="K42" i="1"/>
  <c r="K45" i="1"/>
  <c r="K44" i="1"/>
  <c r="J45" i="1"/>
  <c r="J44" i="1"/>
  <c r="J43" i="1"/>
  <c r="K43" i="1" s="1"/>
  <c r="K40" i="1"/>
  <c r="J41" i="1"/>
  <c r="K41" i="1" s="1"/>
  <c r="J42" i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E40" i="1"/>
  <c r="F40" i="1" s="1"/>
  <c r="G40" i="1" s="1"/>
  <c r="J39" i="1"/>
  <c r="J31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G32" i="1"/>
  <c r="G34" i="1"/>
  <c r="G35" i="1"/>
  <c r="G37" i="1"/>
  <c r="G38" i="1"/>
  <c r="G31" i="1"/>
  <c r="E39" i="1"/>
  <c r="F39" i="1" s="1"/>
  <c r="E38" i="1"/>
  <c r="F38" i="1" s="1"/>
  <c r="E37" i="1"/>
  <c r="F37" i="1"/>
  <c r="E36" i="1"/>
  <c r="F36" i="1" s="1"/>
  <c r="G36" i="1" s="1"/>
  <c r="E35" i="1"/>
  <c r="F35" i="1"/>
  <c r="E34" i="1"/>
  <c r="F34" i="1"/>
  <c r="E33" i="1"/>
  <c r="F33" i="1" s="1"/>
  <c r="E32" i="1"/>
  <c r="F32" i="1" s="1"/>
  <c r="E31" i="1"/>
  <c r="F31" i="1" s="1"/>
  <c r="J27" i="1"/>
  <c r="G27" i="1"/>
  <c r="J25" i="1" l="1"/>
  <c r="K25" i="1" s="1"/>
  <c r="J22" i="1"/>
  <c r="K22" i="1" s="1"/>
  <c r="J23" i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G28" i="1"/>
  <c r="G22" i="1"/>
  <c r="E30" i="1"/>
  <c r="F30" i="1"/>
  <c r="E29" i="1"/>
  <c r="F29" i="1"/>
  <c r="E28" i="1"/>
  <c r="F28" i="1" s="1"/>
  <c r="E27" i="1"/>
  <c r="F27" i="1" s="1"/>
  <c r="E26" i="1"/>
  <c r="F26" i="1" s="1"/>
  <c r="E25" i="1"/>
  <c r="F25" i="1" s="1"/>
  <c r="G25" i="1" s="1"/>
  <c r="E24" i="1"/>
  <c r="F24" i="1"/>
  <c r="G24" i="1" s="1"/>
  <c r="E23" i="1"/>
  <c r="F23" i="1" s="1"/>
  <c r="E22" i="1"/>
  <c r="F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J6" i="13"/>
  <c r="L6" i="13" s="1"/>
  <c r="J12" i="1"/>
  <c r="J13" i="1"/>
  <c r="K13" i="1" s="1"/>
  <c r="J6" i="2"/>
  <c r="K6" i="2" s="1"/>
  <c r="E6" i="2"/>
  <c r="F6" i="2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<sst xmlns="http://schemas.openxmlformats.org/spreadsheetml/2006/main" count="182" uniqueCount="53">
  <si>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</si>
  <si>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</si>
  <si>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</si>
  <si>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</si>
  <si>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</si>
  <si>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</si>
  <si>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</si>
  <si>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</si>
  <si>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</si>
  <si>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</si>
  <si>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</si>
  <si>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</si>
  <si>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</si>
  <si>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</si>
  <si>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</si>
  <si>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</si>
  <si>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</si>
  <si>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</si>
  <si>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</si>
  <si>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</si>
  <si>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</si>
  <si>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</si>
  <si>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</si>
  <si>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</si>
  <si>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</si>
  <si>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</si>
  <si>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</si>
  <si>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</si>
  <si>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</si>
  <si>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</si>
  <si>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</si>
  <si>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</si>
  <si>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</si>
  <si>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</si>
  <si>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</si>
  <si>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</si>
  <si>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</si>
  <si>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</si>
  <si>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</si>
  <si>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</si>
  <si>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</si>
  <si>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</si>
  <si>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</si>
  <si>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</si>
  <si>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</si>
  <si>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</si>
  <si>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</si>
  <si>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</si>
  <si>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</si>
  <si>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</si>
  <si>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</si>
  <si>
    <t>GWS</t>
  </si>
  <si>
    <t>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</si>
</sst>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47"/>
  <sheetViews>
    <sheetView tabSelected="1" zoomScale="136" workbookViewId="0">
      <pane ySplit="4" topLeftCell="A21" activePane="bottomLeft" state="frozen"/>
      <selection pane="bottomLeft" activeCell="M45" sqref="M45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47" si="5">1/D13</f>
        <v>0.83333333333333337</v>
      </c>
      <c r="F13" s="21">
        <f t="shared" ref="F13:F47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36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19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20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22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34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11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4" t="s">
        <v>16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57">
        <v>27</v>
      </c>
      <c r="C31" s="65" t="s">
        <v>19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2">
      <c r="B32" s="44">
        <v>28</v>
      </c>
      <c r="C32" s="66" t="s">
        <v>35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47" si="13">1/F32</f>
        <v>1.4935064935064932</v>
      </c>
      <c r="H32" s="73">
        <v>0</v>
      </c>
      <c r="I32" s="73" t="s">
        <v>7</v>
      </c>
      <c r="J32" s="26">
        <f t="shared" ref="J32:J38" si="14">IF(H32=0,0,IF(I32="WON",(G32-1)*0.95,-1))</f>
        <v>0</v>
      </c>
      <c r="K32" s="27">
        <f t="shared" ref="K31:K45" si="15">J32*J$3</f>
        <v>0</v>
      </c>
    </row>
    <row r="33" spans="2:11" x14ac:dyDescent="0.2">
      <c r="B33" s="44">
        <v>29</v>
      </c>
      <c r="C33" s="66" t="s">
        <v>22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4"/>
        <v>0</v>
      </c>
      <c r="K33" s="27">
        <f t="shared" si="15"/>
        <v>0</v>
      </c>
    </row>
    <row r="34" spans="2:11" x14ac:dyDescent="0.2">
      <c r="B34" s="44">
        <v>30</v>
      </c>
      <c r="C34" s="66" t="s">
        <v>49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3"/>
        <v>1.9832402234636872</v>
      </c>
      <c r="H34" s="73">
        <v>0</v>
      </c>
      <c r="I34" s="73" t="s">
        <v>7</v>
      </c>
      <c r="J34" s="26">
        <f t="shared" si="14"/>
        <v>0</v>
      </c>
      <c r="K34" s="27">
        <f t="shared" si="15"/>
        <v>0</v>
      </c>
    </row>
    <row r="35" spans="2:11" x14ac:dyDescent="0.2">
      <c r="B35" s="44">
        <v>31</v>
      </c>
      <c r="C35" s="66" t="s">
        <v>36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3"/>
        <v>1.7024128686327078</v>
      </c>
      <c r="H35" s="73">
        <v>1</v>
      </c>
      <c r="I35" s="73" t="s">
        <v>11</v>
      </c>
      <c r="J35" s="26">
        <f t="shared" si="14"/>
        <v>-1</v>
      </c>
      <c r="K35" s="27">
        <f t="shared" si="15"/>
        <v>-55.55</v>
      </c>
    </row>
    <row r="36" spans="2:11" x14ac:dyDescent="0.2">
      <c r="B36" s="44">
        <v>32</v>
      </c>
      <c r="C36" s="66" t="s">
        <v>16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3"/>
        <v>1.4599483204134365</v>
      </c>
      <c r="H36" s="73">
        <v>0</v>
      </c>
      <c r="I36" s="73" t="s">
        <v>7</v>
      </c>
      <c r="J36" s="26">
        <f t="shared" si="14"/>
        <v>0</v>
      </c>
      <c r="K36" s="27">
        <f t="shared" si="15"/>
        <v>0</v>
      </c>
    </row>
    <row r="37" spans="2:11" x14ac:dyDescent="0.2">
      <c r="B37" s="44">
        <v>33</v>
      </c>
      <c r="C37" s="66" t="s">
        <v>38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3"/>
        <v>1.4599483204134365</v>
      </c>
      <c r="H37" s="73">
        <v>0</v>
      </c>
      <c r="I37" s="73" t="s">
        <v>7</v>
      </c>
      <c r="J37" s="26">
        <f t="shared" si="14"/>
        <v>0</v>
      </c>
      <c r="K37" s="27">
        <f t="shared" si="15"/>
        <v>0</v>
      </c>
    </row>
    <row r="38" spans="2:11" x14ac:dyDescent="0.2">
      <c r="B38" s="44">
        <v>34</v>
      </c>
      <c r="C38" s="66" t="s">
        <v>18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3"/>
        <v>1.887052341597796</v>
      </c>
      <c r="H38" s="73">
        <v>0</v>
      </c>
      <c r="I38" s="73" t="s">
        <v>7</v>
      </c>
      <c r="J38" s="26">
        <f t="shared" si="14"/>
        <v>0</v>
      </c>
      <c r="K38" s="27">
        <f t="shared" si="15"/>
        <v>0</v>
      </c>
    </row>
    <row r="39" spans="2:11" ht="16" thickBot="1" x14ac:dyDescent="0.25">
      <c r="B39" s="44">
        <v>35</v>
      </c>
      <c r="C39" s="67" t="s">
        <v>51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v>2.2200000000000002</v>
      </c>
      <c r="H39" s="72">
        <v>1</v>
      </c>
      <c r="I39" s="72" t="s">
        <v>7</v>
      </c>
      <c r="J39" s="28">
        <f>IF(H39=0,0,IF(I39="WON",(G39-1)*0.94,-1))</f>
        <v>1.1468</v>
      </c>
      <c r="K39" s="29">
        <v>65.739999999999995</v>
      </c>
    </row>
    <row r="40" spans="2:11" ht="16" thickBot="1" x14ac:dyDescent="0.25">
      <c r="B40" s="46">
        <v>36</v>
      </c>
      <c r="C40" s="64" t="s">
        <v>22</v>
      </c>
      <c r="D40" s="52">
        <v>1.28</v>
      </c>
      <c r="E40" s="42">
        <f t="shared" si="5"/>
        <v>0.78125</v>
      </c>
      <c r="F40" s="56">
        <f t="shared" si="6"/>
        <v>0.58125000000000004</v>
      </c>
      <c r="G40" s="69">
        <f t="shared" si="13"/>
        <v>1.7204301075268815</v>
      </c>
      <c r="H40" s="73">
        <v>1</v>
      </c>
      <c r="I40" s="73" t="s">
        <v>52</v>
      </c>
      <c r="J40" s="28">
        <v>-0.14000000000000001</v>
      </c>
      <c r="K40" s="27">
        <f t="shared" si="15"/>
        <v>-7.7770000000000001</v>
      </c>
    </row>
    <row r="41" spans="2:11" ht="16" thickBot="1" x14ac:dyDescent="0.25">
      <c r="B41" s="47">
        <v>37</v>
      </c>
      <c r="C41" s="64" t="s">
        <v>16</v>
      </c>
      <c r="D41" s="52">
        <v>1.54</v>
      </c>
      <c r="E41" s="42">
        <f t="shared" si="5"/>
        <v>0.64935064935064934</v>
      </c>
      <c r="F41" s="56">
        <f t="shared" si="6"/>
        <v>0.44935064935064933</v>
      </c>
      <c r="G41" s="69">
        <v>2.2400000000000002</v>
      </c>
      <c r="H41" s="73">
        <v>1</v>
      </c>
      <c r="I41" s="73" t="s">
        <v>7</v>
      </c>
      <c r="J41" s="28">
        <f t="shared" ref="J40:J47" si="16">IF(H41=0,0,IF(I41="WON",(G41-1)*0.94,-1))</f>
        <v>1.1656000000000002</v>
      </c>
      <c r="K41" s="27">
        <f t="shared" si="15"/>
        <v>64.749080000000006</v>
      </c>
    </row>
    <row r="42" spans="2:11" ht="16" thickBot="1" x14ac:dyDescent="0.25">
      <c r="B42" s="47">
        <v>38</v>
      </c>
      <c r="C42" s="64" t="s">
        <v>34</v>
      </c>
      <c r="D42" s="52">
        <v>1.7</v>
      </c>
      <c r="E42" s="42">
        <f t="shared" si="5"/>
        <v>0.58823529411764708</v>
      </c>
      <c r="F42" s="56">
        <f t="shared" si="6"/>
        <v>0.38823529411764707</v>
      </c>
      <c r="G42" s="69">
        <f t="shared" si="13"/>
        <v>2.5757575757575757</v>
      </c>
      <c r="H42" s="73">
        <v>1</v>
      </c>
      <c r="I42" s="73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2">
      <c r="B43" s="47">
        <v>39</v>
      </c>
      <c r="C43" s="64" t="s">
        <v>18</v>
      </c>
      <c r="D43" s="52">
        <v>1.0900000000000001</v>
      </c>
      <c r="E43" s="42">
        <f t="shared" si="5"/>
        <v>0.9174311926605504</v>
      </c>
      <c r="F43" s="56">
        <f t="shared" si="6"/>
        <v>0.71743119266055033</v>
      </c>
      <c r="G43" s="69">
        <f t="shared" si="13"/>
        <v>1.3938618925831205</v>
      </c>
      <c r="H43" s="73">
        <v>0</v>
      </c>
      <c r="I43" s="73" t="s">
        <v>7</v>
      </c>
      <c r="J43" s="26">
        <f t="shared" si="16"/>
        <v>0</v>
      </c>
      <c r="K43" s="27">
        <f t="shared" si="15"/>
        <v>0</v>
      </c>
    </row>
    <row r="44" spans="2:11" x14ac:dyDescent="0.2">
      <c r="B44" s="47">
        <v>40</v>
      </c>
      <c r="C44" s="64" t="s">
        <v>36</v>
      </c>
      <c r="D44" s="52">
        <v>1.28</v>
      </c>
      <c r="E44" s="42">
        <f t="shared" si="5"/>
        <v>0.78125</v>
      </c>
      <c r="F44" s="56">
        <f t="shared" si="6"/>
        <v>0.58125000000000004</v>
      </c>
      <c r="G44" s="69">
        <f t="shared" si="13"/>
        <v>1.7204301075268815</v>
      </c>
      <c r="H44" s="73">
        <v>1</v>
      </c>
      <c r="I44" s="73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2">
      <c r="B45" s="47">
        <v>41</v>
      </c>
      <c r="C45" s="64" t="s">
        <v>38</v>
      </c>
      <c r="D45" s="52">
        <v>1.64</v>
      </c>
      <c r="E45" s="42">
        <f t="shared" si="5"/>
        <v>0.6097560975609756</v>
      </c>
      <c r="F45" s="56">
        <f t="shared" si="6"/>
        <v>0.40975609756097559</v>
      </c>
      <c r="G45" s="69">
        <f t="shared" si="13"/>
        <v>2.4404761904761907</v>
      </c>
      <c r="H45" s="73">
        <v>1</v>
      </c>
      <c r="I45" s="73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2">
      <c r="B46" s="47">
        <v>42</v>
      </c>
      <c r="C46" s="64" t="s">
        <v>19</v>
      </c>
      <c r="D46" s="52">
        <v>1.2</v>
      </c>
      <c r="E46" s="42">
        <f t="shared" si="5"/>
        <v>0.83333333333333337</v>
      </c>
      <c r="F46" s="56">
        <f t="shared" si="6"/>
        <v>0.6333333333333333</v>
      </c>
      <c r="G46" s="69">
        <f t="shared" si="13"/>
        <v>1.5789473684210527</v>
      </c>
      <c r="H46" s="73">
        <v>0</v>
      </c>
      <c r="I46" s="73" t="s">
        <v>7</v>
      </c>
      <c r="J46" s="26">
        <f t="shared" si="16"/>
        <v>0</v>
      </c>
      <c r="K46" s="27">
        <f>J46*J$3</f>
        <v>0</v>
      </c>
    </row>
    <row r="47" spans="2:11" ht="16" thickBot="1" x14ac:dyDescent="0.25">
      <c r="B47" s="48">
        <v>43</v>
      </c>
      <c r="C47" s="64" t="s">
        <v>20</v>
      </c>
      <c r="D47" s="52">
        <v>1.61</v>
      </c>
      <c r="E47" s="42">
        <f t="shared" si="5"/>
        <v>0.6211180124223602</v>
      </c>
      <c r="F47" s="56">
        <f t="shared" si="6"/>
        <v>0.42111801242236019</v>
      </c>
      <c r="G47" s="69">
        <f t="shared" si="13"/>
        <v>2.3746312684365787</v>
      </c>
      <c r="H47" s="73">
        <v>0</v>
      </c>
      <c r="I47" s="73" t="s">
        <v>7</v>
      </c>
      <c r="J47" s="26">
        <f t="shared" si="16"/>
        <v>0</v>
      </c>
      <c r="K47" s="27">
        <f>J47*J$3</f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2026-05-03T12:12:00Z</dcterms:modified>
</cp:coreProperties>
</file>