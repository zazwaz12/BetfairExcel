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0CA93D05-02DC-4FDE-9421-FB33F8151E7F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8" i="2" l="1"/>
  <c r="F78" i="2"/>
  <c r="E77" i="2"/>
  <c r="F77" i="2"/>
  <c r="G77" i="2"/>
  <c r="E76" i="2"/>
  <c r="F76" i="2"/>
  <c r="G76" i="2"/>
  <c r="G75" i="2"/>
  <c r="E75" i="2"/>
  <c r="F75" i="2" s="1"/>
  <c r="E74" i="2"/>
  <c r="F74" i="2"/>
  <c r="J73" i="2"/>
  <c r="K73" i="2" s="1"/>
  <c r="J72" i="2"/>
  <c r="K72" i="2" s="1"/>
  <c r="J71" i="2"/>
  <c r="K71" i="2" s="1"/>
  <c r="E73" i="2"/>
  <c r="F73" i="2"/>
  <c r="G73" i="2" s="1"/>
  <c r="E72" i="2"/>
  <c r="F72" i="2" s="1"/>
  <c r="G72" i="2" s="1"/>
  <c r="E71" i="2"/>
  <c r="F71" i="2" s="1"/>
  <c r="G71" i="2" s="1"/>
  <c r="J70" i="2"/>
  <c r="K70" i="2" s="1"/>
  <c r="J69" i="2"/>
  <c r="K69" i="2"/>
  <c r="J68" i="2"/>
  <c r="K68" i="2" s="1"/>
  <c r="J67" i="2"/>
  <c r="K67" i="2" s="1"/>
  <c r="E70" i="2"/>
  <c r="F70" i="2" s="1"/>
  <c r="G70" i="2" s="1"/>
  <c r="E69" i="2"/>
  <c r="F69" i="2" s="1"/>
  <c r="G69" i="2" s="1"/>
  <c r="E68" i="2"/>
  <c r="F68" i="2" s="1"/>
  <c r="G68" i="2" s="1"/>
  <c r="E67" i="2"/>
  <c r="F67" i="2"/>
  <c r="G67" i="2"/>
  <c r="E62" i="2"/>
  <c r="F62" i="2" s="1"/>
  <c r="G62" i="2" s="1"/>
  <c r="J62" i="2"/>
  <c r="K62" i="2" s="1"/>
  <c r="E63" i="2"/>
  <c r="F63" i="2" s="1"/>
  <c r="G63" i="2" s="1"/>
  <c r="J63" i="2"/>
  <c r="K63" i="2" s="1"/>
  <c r="E64" i="2"/>
  <c r="F64" i="2" s="1"/>
  <c r="J64" i="2"/>
  <c r="K64" i="2" s="1"/>
  <c r="E65" i="2"/>
  <c r="F65" i="2" s="1"/>
  <c r="G65" i="2" s="1"/>
  <c r="J65" i="2"/>
  <c r="K65" i="2" s="1"/>
  <c r="E66" i="2"/>
  <c r="F66" i="2" s="1"/>
  <c r="G66" i="2" s="1"/>
  <c r="J66" i="2"/>
  <c r="K66" i="2" s="1"/>
  <c r="E61" i="2"/>
  <c r="F61" i="2" s="1"/>
  <c r="G61" i="2" s="1"/>
  <c r="E60" i="2"/>
  <c r="F60" i="2"/>
  <c r="G60" i="2" s="1"/>
  <c r="E59" i="2"/>
  <c r="F59" i="2" s="1"/>
  <c r="E58" i="2"/>
  <c r="F58" i="2" s="1"/>
  <c r="G58" i="2" s="1"/>
  <c r="J58" i="2" s="1"/>
  <c r="K58" i="2" s="1"/>
  <c r="E57" i="2"/>
  <c r="F57" i="2" s="1"/>
  <c r="G57" i="2" s="1"/>
  <c r="E56" i="2"/>
  <c r="F56" i="2" s="1"/>
  <c r="E55" i="2"/>
  <c r="F55" i="2"/>
  <c r="G55" i="2" s="1"/>
  <c r="E54" i="2"/>
  <c r="F54" i="2" s="1"/>
  <c r="G54" i="2" s="1"/>
  <c r="E53" i="2"/>
  <c r="F53" i="2" s="1"/>
  <c r="G53" i="2" s="1"/>
  <c r="J53" i="2" s="1"/>
  <c r="K53" i="2" s="1"/>
  <c r="J54" i="2"/>
  <c r="K54" i="2" s="1"/>
  <c r="J55" i="2"/>
  <c r="K55" i="2" s="1"/>
  <c r="J56" i="2"/>
  <c r="K56" i="2" s="1"/>
  <c r="J57" i="2"/>
  <c r="K57" i="2" s="1"/>
  <c r="J59" i="2"/>
  <c r="K59" i="2" s="1"/>
  <c r="J60" i="2"/>
  <c r="K60" i="2" s="1"/>
  <c r="J61" i="2"/>
  <c r="K61" i="2" s="1"/>
  <c r="E52" i="2"/>
  <c r="F52" i="2" s="1"/>
  <c r="G52" i="2" s="1"/>
  <c r="J52" i="2" s="1"/>
  <c r="K52" i="2" s="1"/>
  <c r="E51" i="2"/>
  <c r="F51" i="2" s="1"/>
  <c r="G51" i="2" s="1"/>
  <c r="J51" i="2" s="1"/>
  <c r="K51" i="2" s="1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 s="1"/>
  <c r="G28" i="2" s="1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<sst xmlns="http://schemas.openxmlformats.org/spreadsheetml/2006/main" count="321" uniqueCount="111">
  <si>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</si>
  <si>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</si>
  <si>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</si>
  <si>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</si>
  <si>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</si>
  <si>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</si>
  <si>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</si>
  <si>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</si>
  <si>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</si>
  <si>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</si>
  <si>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</si>
  <si>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</si>
  <si>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</si>
  <si>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</si>
  <si>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</si>
  <si>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</si>
  <si>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</si>
  <si>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</si>
  <si>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</si>
  <si>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</si>
  <si>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</si>
  <si>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</si>
  <si>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</si>
  <si>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</si>
  <si>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</si>
  <si>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</si>
  <si>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</si>
  <si>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</si>
  <si>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</si>
  <si>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</si>
  <si>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</si>
  <si>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</si>
  <si>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</si>
  <si>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</si>
  <si>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</si>
  <si>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</si>
  <si>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</si>
  <si>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</si>
  <si>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</si>
  <si>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</si>
  <si>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</si>
  <si>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</si>
  <si>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</si>
  <si>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</si>
  <si>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</si>
  <si>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</si>
  <si>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</si>
  <si>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</si>
  <si>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</si>
  <si>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</si>
  <si>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</si>
  <si>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</si>
  <si>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</si>
  <si>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</si>
  <si>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</si>
  <si>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</si>
  <si>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</si>
  <si>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</si>
  <si>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</si>
  <si>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</si>
  <si>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</si>
  <si>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</si>
  <si>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</si>
  <si>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</si>
  <si>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</si>
  <si>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</si>
  <si>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</si>
  <si>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</si>
  <si>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</si>
  <si>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</si>
  <si>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</si>
  <si>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</si>
  <si>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</si>
  <si>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</si>
  <si>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</si>
  <si>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</si>
  <si>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</si>
  <si>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</si>
  <si>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</si>
  <si>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</si>
  <si>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</si>
  <si>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</si>
  <si>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</si>
  <si>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</si>
  <si>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</si>
  <si>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</si>
  <si>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</si>
  <si>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</si>
  <si>
    <t>Djokovic</t>
  </si>
  <si>
    <t>Baptiste</t>
  </si>
  <si>
    <t>Fritz</t>
  </si>
  <si>
    <t>Halys</t>
  </si>
  <si>
    <t>Medjedovic</t>
  </si>
  <si>
    <t>Cina</t>
  </si>
  <si>
    <t>Machac</t>
  </si>
  <si>
    <t>Volynets</t>
  </si>
  <si>
    <t>Rublev</t>
  </si>
  <si>
    <t>Hurkacz</t>
  </si>
  <si>
    <t>Nakashima</t>
  </si>
  <si>
    <t>De Jong</t>
  </si>
  <si>
    <t>Tiafoe</t>
  </si>
  <si>
    <t>Atmane</t>
  </si>
  <si>
    <t>Ostapenko</t>
  </si>
  <si>
    <t>Udvardy</t>
  </si>
  <si>
    <t>Anisimova</t>
  </si>
  <si>
    <t>Shelton</t>
  </si>
  <si>
    <t>Tirante</t>
  </si>
  <si>
    <t>Cilic</t>
  </si>
  <si>
    <t>Medvedev</t>
  </si>
  <si>
    <t>Sabalenka</t>
  </si>
  <si>
    <t>Moutet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</si>
</sst>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zoomScale="124" workbookViewId="0">
      <pane ySplit="4" topLeftCell="A71" activePane="bottomLeft" state="frozen"/>
      <selection pane="bottomLeft" activeCell="L61" sqref="L61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1</v>
      </c>
      <c r="I74" s="51" t="s">
        <v>10</v>
      </c>
      <c r="J74" s="78">
        <f t="shared" si="30"/>
        <v>-1</v>
      </c>
      <c r="K74" s="29">
        <f t="shared" si="31"/>
        <v>-55.55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84"/>
  <sheetViews>
    <sheetView tabSelected="1" topLeftCell="A72" zoomScale="147" workbookViewId="0">
      <selection activeCell="G79" sqref="G79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61" si="15">1/D21</f>
        <v>0.65789473684210531</v>
      </c>
      <c r="F21" s="6">
        <f t="shared" ref="F21:F6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  <row r="52" spans="2:11" x14ac:dyDescent="0.3">
      <c r="B52" s="3">
        <v>48</v>
      </c>
      <c r="C52" s="79" t="s">
        <v>88</v>
      </c>
      <c r="D52" s="7">
        <v>1.1399999999999999</v>
      </c>
      <c r="E52" s="80">
        <f t="shared" si="15"/>
        <v>0.87719298245614041</v>
      </c>
      <c r="F52" s="6">
        <f t="shared" si="16"/>
        <v>0.67719298245614046</v>
      </c>
      <c r="G52" s="52">
        <f>1/F52</f>
        <v>1.4766839378238339</v>
      </c>
      <c r="H52" s="1">
        <v>1</v>
      </c>
      <c r="I52" s="1" t="s">
        <v>7</v>
      </c>
      <c r="J52" s="26">
        <f t="shared" ref="J52:J61" si="43">IF(H52=0,0,IF(I52="WON",(G52*0.94-1),-1))</f>
        <v>0.38808290155440384</v>
      </c>
      <c r="K52" s="27">
        <f t="shared" ref="K52:K61" si="44">J52*J$3</f>
        <v>21.558005181347131</v>
      </c>
    </row>
    <row r="53" spans="2:11" x14ac:dyDescent="0.3">
      <c r="B53" s="3">
        <v>49</v>
      </c>
      <c r="C53" s="79" t="s">
        <v>89</v>
      </c>
      <c r="D53" s="7">
        <v>1.85</v>
      </c>
      <c r="E53" s="80">
        <f t="shared" si="15"/>
        <v>0.54054054054054046</v>
      </c>
      <c r="F53" s="6">
        <f t="shared" si="16"/>
        <v>0.34054054054054045</v>
      </c>
      <c r="G53" s="52">
        <f t="shared" ref="G53:G61" si="45">1/F53</f>
        <v>2.9365079365079372</v>
      </c>
      <c r="H53" s="1">
        <v>1</v>
      </c>
      <c r="I53" s="1" t="s">
        <v>7</v>
      </c>
      <c r="J53" s="26">
        <f t="shared" si="43"/>
        <v>1.7603174603174607</v>
      </c>
      <c r="K53" s="27">
        <f t="shared" si="44"/>
        <v>97.785634920634934</v>
      </c>
    </row>
    <row r="54" spans="2:11" x14ac:dyDescent="0.3">
      <c r="B54" s="3">
        <v>50</v>
      </c>
      <c r="C54" s="79" t="s">
        <v>90</v>
      </c>
      <c r="D54" s="7">
        <v>1.27</v>
      </c>
      <c r="E54" s="80">
        <f t="shared" si="15"/>
        <v>0.78740157480314954</v>
      </c>
      <c r="F54" s="6">
        <f t="shared" si="16"/>
        <v>0.58740157480314958</v>
      </c>
      <c r="G54" s="52">
        <f t="shared" si="45"/>
        <v>1.7024128686327078</v>
      </c>
      <c r="H54" s="1">
        <v>1</v>
      </c>
      <c r="I54" s="1" t="s">
        <v>10</v>
      </c>
      <c r="J54" s="26">
        <f t="shared" si="43"/>
        <v>-1</v>
      </c>
      <c r="K54" s="27">
        <f t="shared" si="44"/>
        <v>-55.55</v>
      </c>
    </row>
    <row r="55" spans="2:11" x14ac:dyDescent="0.3">
      <c r="B55" s="3">
        <v>51</v>
      </c>
      <c r="C55" s="79" t="s">
        <v>41</v>
      </c>
      <c r="D55" s="7">
        <v>1.06</v>
      </c>
      <c r="E55" s="80">
        <f t="shared" si="15"/>
        <v>0.94339622641509424</v>
      </c>
      <c r="F55" s="6">
        <f t="shared" si="16"/>
        <v>0.74339622641509417</v>
      </c>
      <c r="G55" s="52">
        <f t="shared" si="45"/>
        <v>1.3451776649746197</v>
      </c>
      <c r="H55" s="1">
        <v>0</v>
      </c>
      <c r="I55" s="1" t="s">
        <v>7</v>
      </c>
      <c r="J55" s="26">
        <f t="shared" si="43"/>
        <v>0</v>
      </c>
      <c r="K55" s="27">
        <f t="shared" si="44"/>
        <v>0</v>
      </c>
    </row>
    <row r="56" spans="2:11" x14ac:dyDescent="0.3">
      <c r="B56" s="3">
        <v>52</v>
      </c>
      <c r="C56" s="79" t="s">
        <v>91</v>
      </c>
      <c r="D56" s="7">
        <v>1.8</v>
      </c>
      <c r="E56" s="80">
        <f t="shared" si="15"/>
        <v>0.55555555555555558</v>
      </c>
      <c r="F56" s="6">
        <f t="shared" si="16"/>
        <v>0.35555555555555557</v>
      </c>
      <c r="G56" s="52">
        <v>2.82</v>
      </c>
      <c r="H56" s="1">
        <v>0</v>
      </c>
      <c r="I56" s="1" t="s">
        <v>7</v>
      </c>
      <c r="J56" s="26">
        <f t="shared" si="43"/>
        <v>0</v>
      </c>
      <c r="K56" s="27">
        <f t="shared" si="44"/>
        <v>0</v>
      </c>
    </row>
    <row r="57" spans="2:11" x14ac:dyDescent="0.3">
      <c r="B57" s="3">
        <v>53</v>
      </c>
      <c r="C57" s="79" t="s">
        <v>92</v>
      </c>
      <c r="D57" s="7">
        <v>1.62</v>
      </c>
      <c r="E57" s="80">
        <f t="shared" si="15"/>
        <v>0.61728395061728392</v>
      </c>
      <c r="F57" s="6">
        <f t="shared" si="16"/>
        <v>0.41728395061728391</v>
      </c>
      <c r="G57" s="52">
        <f t="shared" si="45"/>
        <v>2.3964497041420123</v>
      </c>
      <c r="H57" s="1">
        <v>0</v>
      </c>
      <c r="I57" s="1" t="s">
        <v>7</v>
      </c>
      <c r="J57" s="26">
        <f t="shared" si="43"/>
        <v>0</v>
      </c>
      <c r="K57" s="27">
        <f t="shared" si="44"/>
        <v>0</v>
      </c>
    </row>
    <row r="58" spans="2:11" x14ac:dyDescent="0.3">
      <c r="B58" s="3">
        <v>54</v>
      </c>
      <c r="C58" s="79" t="s">
        <v>93</v>
      </c>
      <c r="D58" s="7">
        <v>1.52</v>
      </c>
      <c r="E58" s="80">
        <f t="shared" si="15"/>
        <v>0.65789473684210531</v>
      </c>
      <c r="F58" s="6">
        <f t="shared" si="16"/>
        <v>0.4578947368421053</v>
      </c>
      <c r="G58" s="52">
        <f t="shared" si="45"/>
        <v>2.1839080459770113</v>
      </c>
      <c r="H58" s="1">
        <v>1</v>
      </c>
      <c r="I58" s="1" t="s">
        <v>7</v>
      </c>
      <c r="J58" s="26">
        <f t="shared" si="43"/>
        <v>1.0528735632183905</v>
      </c>
      <c r="K58" s="27">
        <f t="shared" si="44"/>
        <v>58.487126436781594</v>
      </c>
    </row>
    <row r="59" spans="2:11" x14ac:dyDescent="0.3">
      <c r="B59" s="3">
        <v>55</v>
      </c>
      <c r="C59" s="79" t="s">
        <v>94</v>
      </c>
      <c r="D59" s="7">
        <v>1.74</v>
      </c>
      <c r="E59" s="80">
        <f t="shared" si="15"/>
        <v>0.57471264367816088</v>
      </c>
      <c r="F59" s="6">
        <f t="shared" si="16"/>
        <v>0.37471264367816087</v>
      </c>
      <c r="G59" s="52">
        <v>2.68</v>
      </c>
      <c r="H59" s="1">
        <v>0</v>
      </c>
      <c r="I59" s="1" t="s">
        <v>7</v>
      </c>
      <c r="J59" s="26">
        <f t="shared" si="43"/>
        <v>0</v>
      </c>
      <c r="K59" s="27">
        <f t="shared" si="44"/>
        <v>0</v>
      </c>
    </row>
    <row r="60" spans="2:11" x14ac:dyDescent="0.3">
      <c r="B60" s="3">
        <v>56</v>
      </c>
      <c r="C60" s="79" t="s">
        <v>95</v>
      </c>
      <c r="D60" s="7">
        <v>1.25</v>
      </c>
      <c r="E60" s="80">
        <f t="shared" si="15"/>
        <v>0.8</v>
      </c>
      <c r="F60" s="6">
        <f t="shared" si="16"/>
        <v>0.60000000000000009</v>
      </c>
      <c r="G60" s="52">
        <f t="shared" si="45"/>
        <v>1.6666666666666665</v>
      </c>
      <c r="H60" s="1">
        <v>0</v>
      </c>
      <c r="I60" s="1" t="s">
        <v>7</v>
      </c>
      <c r="J60" s="26">
        <f t="shared" si="43"/>
        <v>0</v>
      </c>
      <c r="K60" s="27">
        <f t="shared" si="44"/>
        <v>0</v>
      </c>
    </row>
    <row r="61" spans="2:11" x14ac:dyDescent="0.3">
      <c r="B61" s="3">
        <v>57</v>
      </c>
      <c r="C61" s="79" t="s">
        <v>96</v>
      </c>
      <c r="D61" s="7">
        <v>1.44</v>
      </c>
      <c r="E61" s="80">
        <f t="shared" si="15"/>
        <v>0.69444444444444442</v>
      </c>
      <c r="F61" s="6">
        <f t="shared" si="16"/>
        <v>0.49444444444444441</v>
      </c>
      <c r="G61" s="52">
        <f t="shared" si="45"/>
        <v>2.0224719101123596</v>
      </c>
      <c r="H61" s="1">
        <v>1</v>
      </c>
      <c r="I61" s="1" t="s">
        <v>7</v>
      </c>
      <c r="J61" s="26">
        <f t="shared" si="43"/>
        <v>0.90112359550561782</v>
      </c>
      <c r="K61" s="27">
        <f t="shared" si="44"/>
        <v>50.05741573033707</v>
      </c>
    </row>
    <row r="62" spans="2:11" x14ac:dyDescent="0.3">
      <c r="B62" s="3">
        <v>58</v>
      </c>
      <c r="C62" s="79" t="s">
        <v>97</v>
      </c>
      <c r="D62" s="7">
        <v>1.78</v>
      </c>
      <c r="E62" s="80">
        <f t="shared" ref="E62:E78" si="46">1/D62</f>
        <v>0.5617977528089888</v>
      </c>
      <c r="F62" s="6">
        <f t="shared" ref="F62:F78" si="47">E62-0.2</f>
        <v>0.36179775280898879</v>
      </c>
      <c r="G62" s="52">
        <f t="shared" ref="G62:G74" si="48">1/F62</f>
        <v>2.7639751552795029</v>
      </c>
      <c r="H62" s="1">
        <v>0</v>
      </c>
      <c r="I62" s="1" t="s">
        <v>7</v>
      </c>
      <c r="J62" s="26">
        <f t="shared" ref="J62:J73" si="49">IF(H62=0,0,IF(I62="WON",(G62*0.94-1),-1))</f>
        <v>0</v>
      </c>
      <c r="K62" s="27">
        <f t="shared" ref="K62:K73" si="50">J62*J$3</f>
        <v>0</v>
      </c>
    </row>
    <row r="63" spans="2:11" x14ac:dyDescent="0.3">
      <c r="B63" s="3">
        <v>59</v>
      </c>
      <c r="C63" s="79" t="s">
        <v>98</v>
      </c>
      <c r="D63" s="7">
        <v>1.35</v>
      </c>
      <c r="E63" s="80">
        <f t="shared" si="46"/>
        <v>0.7407407407407407</v>
      </c>
      <c r="F63" s="6">
        <f t="shared" si="47"/>
        <v>0.54074074074074074</v>
      </c>
      <c r="G63" s="52">
        <f t="shared" si="48"/>
        <v>1.8493150684931507</v>
      </c>
      <c r="H63" s="1">
        <v>0</v>
      </c>
      <c r="I63" s="1" t="s">
        <v>7</v>
      </c>
      <c r="J63" s="26">
        <f t="shared" si="49"/>
        <v>0</v>
      </c>
      <c r="K63" s="27">
        <f t="shared" si="50"/>
        <v>0</v>
      </c>
    </row>
    <row r="64" spans="2:11" x14ac:dyDescent="0.3">
      <c r="B64" s="3">
        <v>60</v>
      </c>
      <c r="C64" s="79" t="s">
        <v>99</v>
      </c>
      <c r="D64" s="7">
        <v>1.69</v>
      </c>
      <c r="E64" s="80">
        <f t="shared" si="46"/>
        <v>0.59171597633136097</v>
      </c>
      <c r="F64" s="6">
        <f t="shared" si="47"/>
        <v>0.39171597633136096</v>
      </c>
      <c r="G64" s="52">
        <v>2.56</v>
      </c>
      <c r="H64" s="1">
        <v>0</v>
      </c>
      <c r="I64" s="1" t="s">
        <v>7</v>
      </c>
      <c r="J64" s="26">
        <f t="shared" si="49"/>
        <v>0</v>
      </c>
      <c r="K64" s="27">
        <f t="shared" si="50"/>
        <v>0</v>
      </c>
    </row>
    <row r="65" spans="2:11" x14ac:dyDescent="0.3">
      <c r="B65" s="3">
        <v>61</v>
      </c>
      <c r="C65" s="79" t="s">
        <v>100</v>
      </c>
      <c r="D65" s="7">
        <v>1.1100000000000001</v>
      </c>
      <c r="E65" s="80">
        <f t="shared" si="46"/>
        <v>0.9009009009009008</v>
      </c>
      <c r="F65" s="6">
        <f t="shared" si="47"/>
        <v>0.70090090090090085</v>
      </c>
      <c r="G65" s="52">
        <f t="shared" si="48"/>
        <v>1.4267352185089976</v>
      </c>
      <c r="H65" s="1">
        <v>1</v>
      </c>
      <c r="I65" s="1" t="s">
        <v>7</v>
      </c>
      <c r="J65" s="26">
        <f t="shared" si="49"/>
        <v>0.34113110539845781</v>
      </c>
      <c r="K65" s="27">
        <f t="shared" si="50"/>
        <v>18.949832904884332</v>
      </c>
    </row>
    <row r="66" spans="2:11" x14ac:dyDescent="0.3">
      <c r="B66" s="3">
        <v>62</v>
      </c>
      <c r="C66" s="79" t="s">
        <v>101</v>
      </c>
      <c r="D66" s="7">
        <v>1.3</v>
      </c>
      <c r="E66" s="80">
        <f t="shared" si="46"/>
        <v>0.76923076923076916</v>
      </c>
      <c r="F66" s="6">
        <f t="shared" si="47"/>
        <v>0.56923076923076921</v>
      </c>
      <c r="G66" s="52">
        <f t="shared" si="48"/>
        <v>1.7567567567567568</v>
      </c>
      <c r="H66" s="1">
        <v>1</v>
      </c>
      <c r="I66" s="1" t="s">
        <v>10</v>
      </c>
      <c r="J66" s="26">
        <f t="shared" si="49"/>
        <v>-1</v>
      </c>
      <c r="K66" s="27">
        <f t="shared" si="50"/>
        <v>-55.55</v>
      </c>
    </row>
    <row r="67" spans="2:11" x14ac:dyDescent="0.3">
      <c r="B67" s="3">
        <v>63</v>
      </c>
      <c r="C67" s="79" t="s">
        <v>102</v>
      </c>
      <c r="D67" s="7">
        <v>1.24</v>
      </c>
      <c r="E67" s="80">
        <f t="shared" si="46"/>
        <v>0.80645161290322587</v>
      </c>
      <c r="F67" s="6">
        <f t="shared" si="47"/>
        <v>0.6064516129032258</v>
      </c>
      <c r="G67" s="52">
        <f t="shared" si="48"/>
        <v>1.6489361702127661</v>
      </c>
      <c r="H67" s="1">
        <v>0</v>
      </c>
      <c r="I67" s="1" t="s">
        <v>7</v>
      </c>
      <c r="J67" s="26">
        <f t="shared" si="49"/>
        <v>0</v>
      </c>
      <c r="K67" s="27">
        <f t="shared" si="50"/>
        <v>0</v>
      </c>
    </row>
    <row r="68" spans="2:11" x14ac:dyDescent="0.3">
      <c r="B68" s="3">
        <v>64</v>
      </c>
      <c r="C68" s="79" t="s">
        <v>103</v>
      </c>
      <c r="D68" s="7">
        <v>1.78</v>
      </c>
      <c r="E68" s="80">
        <f t="shared" si="46"/>
        <v>0.5617977528089888</v>
      </c>
      <c r="F68" s="6">
        <f t="shared" si="47"/>
        <v>0.36179775280898879</v>
      </c>
      <c r="G68" s="52">
        <f t="shared" si="48"/>
        <v>2.7639751552795029</v>
      </c>
      <c r="H68" s="1">
        <v>1</v>
      </c>
      <c r="I68" s="1" t="s">
        <v>10</v>
      </c>
      <c r="J68" s="26">
        <f t="shared" si="49"/>
        <v>-1</v>
      </c>
      <c r="K68" s="27">
        <f t="shared" si="50"/>
        <v>-55.55</v>
      </c>
    </row>
    <row r="69" spans="2:11" x14ac:dyDescent="0.3">
      <c r="B69" s="3">
        <v>65</v>
      </c>
      <c r="C69" s="79" t="s">
        <v>51</v>
      </c>
      <c r="D69" s="7">
        <v>1.1100000000000001</v>
      </c>
      <c r="E69" s="80">
        <f t="shared" si="46"/>
        <v>0.9009009009009008</v>
      </c>
      <c r="F69" s="6">
        <f t="shared" si="47"/>
        <v>0.70090090090090085</v>
      </c>
      <c r="G69" s="52">
        <f t="shared" si="48"/>
        <v>1.4267352185089976</v>
      </c>
      <c r="H69" s="1">
        <v>1</v>
      </c>
      <c r="I69" s="1" t="s">
        <v>7</v>
      </c>
      <c r="J69" s="26">
        <f t="shared" si="49"/>
        <v>0.34113110539845781</v>
      </c>
      <c r="K69" s="27">
        <f t="shared" si="50"/>
        <v>18.949832904884332</v>
      </c>
    </row>
    <row r="70" spans="2:11" x14ac:dyDescent="0.3">
      <c r="B70" s="3">
        <v>66</v>
      </c>
      <c r="C70" s="79" t="s">
        <v>104</v>
      </c>
      <c r="D70" s="7">
        <v>1.0900000000000001</v>
      </c>
      <c r="E70" s="80">
        <f t="shared" si="46"/>
        <v>0.9174311926605504</v>
      </c>
      <c r="F70" s="6">
        <f t="shared" si="47"/>
        <v>0.71743119266055033</v>
      </c>
      <c r="G70" s="52">
        <f t="shared" si="48"/>
        <v>1.3938618925831205</v>
      </c>
      <c r="H70" s="1">
        <v>0</v>
      </c>
      <c r="I70" s="1" t="s">
        <v>7</v>
      </c>
      <c r="J70" s="26">
        <f t="shared" si="49"/>
        <v>0</v>
      </c>
      <c r="K70" s="27">
        <f t="shared" si="50"/>
        <v>0</v>
      </c>
    </row>
    <row r="71" spans="2:11" x14ac:dyDescent="0.3">
      <c r="B71" s="3">
        <v>67</v>
      </c>
      <c r="C71" s="79" t="s">
        <v>105</v>
      </c>
      <c r="D71" s="7">
        <v>1.29</v>
      </c>
      <c r="E71" s="80">
        <f t="shared" si="46"/>
        <v>0.77519379844961234</v>
      </c>
      <c r="F71" s="6">
        <f t="shared" si="47"/>
        <v>0.57519379844961227</v>
      </c>
      <c r="G71" s="52">
        <f t="shared" si="48"/>
        <v>1.7385444743935314</v>
      </c>
      <c r="H71" s="1">
        <v>0</v>
      </c>
      <c r="I71" s="1" t="s">
        <v>7</v>
      </c>
      <c r="J71" s="26">
        <f t="shared" si="49"/>
        <v>0</v>
      </c>
      <c r="K71" s="27">
        <f t="shared" si="50"/>
        <v>0</v>
      </c>
    </row>
    <row r="72" spans="2:11" x14ac:dyDescent="0.3">
      <c r="B72" s="3">
        <v>68</v>
      </c>
      <c r="C72" s="79" t="s">
        <v>76</v>
      </c>
      <c r="D72" s="7">
        <v>1.07</v>
      </c>
      <c r="E72" s="80">
        <f t="shared" si="46"/>
        <v>0.93457943925233644</v>
      </c>
      <c r="F72" s="6">
        <f t="shared" si="47"/>
        <v>0.73457943925233637</v>
      </c>
      <c r="G72" s="52">
        <f t="shared" si="48"/>
        <v>1.3613231552162852</v>
      </c>
      <c r="H72" s="1">
        <v>1</v>
      </c>
      <c r="I72" s="1" t="s">
        <v>7</v>
      </c>
      <c r="J72" s="26">
        <f t="shared" si="49"/>
        <v>0.27964376590330797</v>
      </c>
      <c r="K72" s="27">
        <f t="shared" si="50"/>
        <v>15.534211195928757</v>
      </c>
    </row>
    <row r="73" spans="2:11" x14ac:dyDescent="0.3">
      <c r="B73" s="3">
        <v>69</v>
      </c>
      <c r="C73" s="79" t="s">
        <v>58</v>
      </c>
      <c r="D73" s="7">
        <v>1.1100000000000001</v>
      </c>
      <c r="E73" s="80">
        <f t="shared" si="46"/>
        <v>0.9009009009009008</v>
      </c>
      <c r="F73" s="6">
        <f t="shared" si="47"/>
        <v>0.70090090090090085</v>
      </c>
      <c r="G73" s="52">
        <f t="shared" si="48"/>
        <v>1.4267352185089976</v>
      </c>
      <c r="H73" s="1">
        <v>0</v>
      </c>
      <c r="I73" s="1" t="s">
        <v>7</v>
      </c>
      <c r="J73" s="26">
        <f t="shared" si="49"/>
        <v>0</v>
      </c>
      <c r="K73" s="27">
        <f t="shared" si="50"/>
        <v>0</v>
      </c>
    </row>
    <row r="74" spans="2:11" x14ac:dyDescent="0.3">
      <c r="B74" s="3">
        <v>70</v>
      </c>
      <c r="C74" s="79" t="s">
        <v>106</v>
      </c>
      <c r="D74" s="7">
        <v>1.91</v>
      </c>
      <c r="E74" s="80">
        <f t="shared" si="46"/>
        <v>0.52356020942408377</v>
      </c>
      <c r="F74" s="6">
        <f t="shared" si="47"/>
        <v>0.32356020942408376</v>
      </c>
      <c r="G74" s="52">
        <v>3.1</v>
      </c>
    </row>
    <row r="75" spans="2:11" x14ac:dyDescent="0.3">
      <c r="B75" s="3">
        <v>71</v>
      </c>
      <c r="C75" s="79" t="s">
        <v>107</v>
      </c>
      <c r="D75" s="7">
        <v>1.32</v>
      </c>
      <c r="E75" s="80">
        <f t="shared" si="46"/>
        <v>0.75757575757575757</v>
      </c>
      <c r="F75" s="6">
        <f t="shared" si="47"/>
        <v>0.55757575757575761</v>
      </c>
      <c r="G75" s="52">
        <f>1/F75</f>
        <v>1.7934782608695652</v>
      </c>
    </row>
    <row r="76" spans="2:11" x14ac:dyDescent="0.3">
      <c r="B76" s="3">
        <v>72</v>
      </c>
      <c r="C76" s="79" t="s">
        <v>108</v>
      </c>
      <c r="D76" s="7">
        <v>1.06</v>
      </c>
      <c r="E76" s="80">
        <f t="shared" si="46"/>
        <v>0.94339622641509424</v>
      </c>
      <c r="F76" s="6">
        <f t="shared" si="47"/>
        <v>0.74339622641509417</v>
      </c>
      <c r="G76" s="52">
        <f>1/F76</f>
        <v>1.3451776649746197</v>
      </c>
    </row>
    <row r="77" spans="2:11" x14ac:dyDescent="0.3">
      <c r="B77" s="3">
        <v>73</v>
      </c>
      <c r="C77" s="79" t="s">
        <v>109</v>
      </c>
      <c r="D77" s="7">
        <v>1.06</v>
      </c>
      <c r="E77" s="80">
        <f t="shared" si="46"/>
        <v>0.94339622641509424</v>
      </c>
      <c r="F77" s="6">
        <f t="shared" si="47"/>
        <v>0.74339622641509417</v>
      </c>
      <c r="G77" s="52">
        <f>1/F77</f>
        <v>1.3451776649746197</v>
      </c>
    </row>
    <row r="78" spans="2:11" x14ac:dyDescent="0.3">
      <c r="B78" s="3">
        <v>74</v>
      </c>
      <c r="C78" s="79" t="s">
        <v>110</v>
      </c>
      <c r="D78" s="7">
        <v>1.66</v>
      </c>
      <c r="E78" s="80">
        <f t="shared" si="46"/>
        <v>0.60240963855421692</v>
      </c>
      <c r="F78" s="6">
        <f t="shared" si="47"/>
        <v>0.40240963855421691</v>
      </c>
      <c r="G78" s="52">
        <v>2.5</v>
      </c>
    </row>
    <row r="79" spans="2:11" x14ac:dyDescent="0.3">
      <c r="B79" s="3">
        <v>75</v>
      </c>
    </row>
    <row r="80" spans="2:11" x14ac:dyDescent="0.3">
      <c r="B80" s="3">
        <v>76</v>
      </c>
    </row>
    <row r="81" spans="2:2" x14ac:dyDescent="0.3">
      <c r="B81" s="3">
        <v>77</v>
      </c>
    </row>
    <row r="82" spans="2:2" x14ac:dyDescent="0.3">
      <c r="B82" s="3">
        <v>78</v>
      </c>
    </row>
    <row r="83" spans="2:2" x14ac:dyDescent="0.3">
      <c r="B83" s="3">
        <v>79</v>
      </c>
    </row>
    <row r="84" spans="2:2" x14ac:dyDescent="0.3">
      <c r="B84" s="3">
        <v>80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B24" sqref="B24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2026-05-25T23:24:16Z</dcterms:modified>
</cp:coreProperties>
</file>