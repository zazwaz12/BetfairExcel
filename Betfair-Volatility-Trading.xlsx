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"/>
    </mc:Choice>
  </mc:AlternateContent>
  <xr:revisionPtr revIDLastSave="0" documentId="13_ncr:1_{259EFB70-1C3B-4D28-9F2F-6507D48B9CFF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Option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2" l="1"/>
  <c r="F11" i="2"/>
  <c r="G11" i="2" s="1"/>
  <c r="J57" i="1"/>
  <c r="K57" i="1" s="1"/>
  <c r="J58" i="1"/>
  <c r="K58" i="1" s="1"/>
  <c r="J59" i="1"/>
  <c r="K59" i="1" s="1"/>
  <c r="J60" i="1"/>
  <c r="K60" i="1"/>
  <c r="J61" i="1"/>
  <c r="K61" i="1" s="1"/>
  <c r="J62" i="1"/>
  <c r="K62" i="1" s="1"/>
  <c r="J63" i="1"/>
  <c r="K63" i="1"/>
  <c r="J64" i="1"/>
  <c r="K64" i="1"/>
  <c r="J65" i="1"/>
  <c r="K65" i="1" s="1"/>
  <c r="E57" i="1"/>
  <c r="F57" i="1" s="1"/>
  <c r="G57" i="1" s="1"/>
  <c r="E58" i="1"/>
  <c r="F58" i="1" s="1"/>
  <c r="G58" i="1" s="1"/>
  <c r="E59" i="1"/>
  <c r="F59" i="1" s="1"/>
  <c r="G59" i="1" s="1"/>
  <c r="E60" i="1"/>
  <c r="F60" i="1"/>
  <c r="G60" i="1" s="1"/>
  <c r="E61" i="1"/>
  <c r="F61" i="1"/>
  <c r="G61" i="1"/>
  <c r="E62" i="1"/>
  <c r="F62" i="1"/>
  <c r="G62" i="1" s="1"/>
  <c r="E63" i="1"/>
  <c r="F63" i="1" s="1"/>
  <c r="G63" i="1" s="1"/>
  <c r="E64" i="1"/>
  <c r="F64" i="1" s="1"/>
  <c r="G64" i="1" s="1"/>
  <c r="E65" i="1"/>
  <c r="F65" i="1"/>
  <c r="G65" i="1" s="1"/>
  <c r="J48" i="1"/>
  <c r="K48" i="1" s="1"/>
  <c r="J49" i="1"/>
  <c r="K49" i="1"/>
  <c r="J50" i="1"/>
  <c r="K50" i="1" s="1"/>
  <c r="J51" i="1"/>
  <c r="K51" i="1"/>
  <c r="J52" i="1"/>
  <c r="K52" i="1" s="1"/>
  <c r="J53" i="1"/>
  <c r="K53" i="1"/>
  <c r="J54" i="1"/>
  <c r="K54" i="1"/>
  <c r="J55" i="1"/>
  <c r="K55" i="1" s="1"/>
  <c r="J56" i="1"/>
  <c r="K56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K27" i="1"/>
  <c r="J28" i="1"/>
  <c r="K28" i="1" s="1"/>
  <c r="J29" i="1"/>
  <c r="K29" i="1" s="1"/>
  <c r="J30" i="1"/>
  <c r="K30" i="1" s="1"/>
  <c r="E30" i="1"/>
  <c r="F30" i="1"/>
  <c r="E29" i="1"/>
  <c r="F29" i="1"/>
  <c r="E28" i="1"/>
  <c r="F28" i="1" s="1"/>
  <c r="G28" i="1" s="1"/>
  <c r="E27" i="1"/>
  <c r="F27" i="1" s="1"/>
  <c r="G27" i="1" s="1"/>
  <c r="J27" i="1" s="1"/>
  <c r="E26" i="1"/>
  <c r="F26" i="1" s="1"/>
  <c r="E25" i="1"/>
  <c r="F25" i="1" s="1"/>
  <c r="G25" i="1" s="1"/>
  <c r="J25" i="1" s="1"/>
  <c r="K25" i="1" s="1"/>
  <c r="E24" i="1"/>
  <c r="F24" i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<sst xmlns="http://schemas.openxmlformats.org/spreadsheetml/2006/main" count="167" uniqueCount="52">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</sst>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Border="1" applyAlignment="1">
      <alignment horizontal="center"/>
    </xf>
    <xf numFmtId="2" fontId="3" fillId="6" borderId="0" xfId="0" applyNumberFormat="1" applyFont="1" applyFill="1" applyBorder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2" fontId="3" fillId="7" borderId="0" xfId="0" applyNumberFormat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65"/>
  <sheetViews>
    <sheetView zoomScale="136" workbookViewId="0">
      <pane ySplit="4" topLeftCell="A55" activePane="bottomLeft" state="frozen"/>
      <selection pane="bottomLeft" activeCell="D66" sqref="D66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6" t="s">
        <v>17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7" t="s">
        <v>16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7" t="s">
        <v>15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7" t="s">
        <v>14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7" t="s">
        <v>18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7" t="s">
        <v>19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7" t="s">
        <v>20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8" t="s">
        <v>21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7">
        <v>9</v>
      </c>
      <c r="C13" s="57" t="s">
        <v>32</v>
      </c>
      <c r="D13" s="58">
        <v>1.2</v>
      </c>
      <c r="E13" s="41">
        <f t="shared" ref="E13:E47" si="5">1/D13</f>
        <v>0.83333333333333337</v>
      </c>
      <c r="F13" s="21">
        <f t="shared" ref="F13:F47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4">
        <v>10</v>
      </c>
      <c r="C14" s="44" t="s">
        <v>15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4">
        <v>11</v>
      </c>
      <c r="C15" s="44" t="s">
        <v>17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4">
        <v>12</v>
      </c>
      <c r="C16" s="44" t="s">
        <v>33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4">
        <v>13</v>
      </c>
      <c r="C17" s="44" t="s">
        <v>18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4">
        <v>14</v>
      </c>
      <c r="C18" s="44" t="s">
        <v>21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4">
        <v>15</v>
      </c>
      <c r="C19" s="44" t="s">
        <v>34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4">
        <v>16</v>
      </c>
      <c r="C20" s="44" t="s">
        <v>35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5">
        <v>17</v>
      </c>
      <c r="C21" s="45" t="s">
        <v>36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6">
        <v>18</v>
      </c>
      <c r="C22" s="63" t="s">
        <v>44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2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7">
        <v>19</v>
      </c>
      <c r="C23" s="64" t="s">
        <v>34</v>
      </c>
      <c r="D23" s="5">
        <v>1.59</v>
      </c>
      <c r="E23" s="42">
        <f t="shared" si="5"/>
        <v>0.62893081761006286</v>
      </c>
      <c r="F23" s="56">
        <f t="shared" si="6"/>
        <v>0.42893081761006285</v>
      </c>
      <c r="G23" s="49">
        <v>2.34</v>
      </c>
      <c r="H23" s="52">
        <v>0</v>
      </c>
      <c r="I23" s="74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7">
        <v>20</v>
      </c>
      <c r="C24" s="64" t="s">
        <v>18</v>
      </c>
      <c r="D24" s="5">
        <v>1.3</v>
      </c>
      <c r="E24" s="42">
        <f t="shared" si="5"/>
        <v>0.76923076923076916</v>
      </c>
      <c r="F24" s="56">
        <f t="shared" si="6"/>
        <v>0.56923076923076921</v>
      </c>
      <c r="G24" s="49">
        <f t="shared" ref="G24:G28" si="12">1/F24</f>
        <v>1.7567567567567568</v>
      </c>
      <c r="H24" s="52">
        <v>0</v>
      </c>
      <c r="I24" s="74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7">
        <v>21</v>
      </c>
      <c r="C25" s="64" t="s">
        <v>19</v>
      </c>
      <c r="D25" s="5">
        <v>1.1200000000000001</v>
      </c>
      <c r="E25" s="42">
        <f t="shared" si="5"/>
        <v>0.89285714285714279</v>
      </c>
      <c r="F25" s="56">
        <f t="shared" si="6"/>
        <v>0.69285714285714284</v>
      </c>
      <c r="G25" s="49">
        <f t="shared" si="12"/>
        <v>1.4432989690721649</v>
      </c>
      <c r="H25" s="52">
        <v>1</v>
      </c>
      <c r="I25" s="74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7">
        <v>22</v>
      </c>
      <c r="C26" s="64" t="s">
        <v>21</v>
      </c>
      <c r="D26" s="5">
        <v>1.1499999999999999</v>
      </c>
      <c r="E26" s="42">
        <f t="shared" si="5"/>
        <v>0.86956521739130443</v>
      </c>
      <c r="F26" s="56">
        <f t="shared" si="6"/>
        <v>0.66956521739130448</v>
      </c>
      <c r="G26" s="49">
        <v>1.5</v>
      </c>
      <c r="H26" s="52">
        <v>0</v>
      </c>
      <c r="I26" s="75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7">
        <v>23</v>
      </c>
      <c r="C27" s="64" t="s">
        <v>32</v>
      </c>
      <c r="D27" s="5">
        <v>1.72</v>
      </c>
      <c r="E27" s="42">
        <f t="shared" si="5"/>
        <v>0.58139534883720934</v>
      </c>
      <c r="F27" s="56">
        <f t="shared" si="6"/>
        <v>0.38139534883720932</v>
      </c>
      <c r="G27" s="49">
        <f t="shared" si="12"/>
        <v>2.6219512195121948</v>
      </c>
      <c r="H27" s="52">
        <v>1</v>
      </c>
      <c r="I27" s="75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7">
        <v>24</v>
      </c>
      <c r="C28" s="64" t="s">
        <v>45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2"/>
        <v>1.7567567567567568</v>
      </c>
      <c r="H28" s="52">
        <v>0</v>
      </c>
      <c r="I28" s="74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7">
        <v>25</v>
      </c>
      <c r="C29" s="64" t="s">
        <v>17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v>1.88</v>
      </c>
      <c r="H29" s="52">
        <v>1</v>
      </c>
      <c r="I29" s="74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7">
        <v>26</v>
      </c>
      <c r="C30" s="64" t="s">
        <v>15</v>
      </c>
      <c r="D30" s="11">
        <v>1.1100000000000001</v>
      </c>
      <c r="E30" s="43">
        <f t="shared" si="5"/>
        <v>0.9009009009009008</v>
      </c>
      <c r="F30" s="61">
        <f t="shared" si="6"/>
        <v>0.70090090090090085</v>
      </c>
      <c r="G30" s="50">
        <v>1.44</v>
      </c>
      <c r="H30" s="9">
        <v>0</v>
      </c>
      <c r="I30" s="76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7">
        <v>27</v>
      </c>
      <c r="C31" s="65" t="s">
        <v>18</v>
      </c>
      <c r="D31" s="23">
        <v>1.35</v>
      </c>
      <c r="E31" s="41">
        <f t="shared" si="5"/>
        <v>0.7407407407407407</v>
      </c>
      <c r="F31" s="60">
        <f t="shared" si="6"/>
        <v>0.54074074074074074</v>
      </c>
      <c r="G31" s="68">
        <f>1/F31</f>
        <v>1.8493150684931507</v>
      </c>
      <c r="H31" s="71">
        <v>1</v>
      </c>
      <c r="I31" s="71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4">
        <v>28</v>
      </c>
      <c r="C32" s="66" t="s">
        <v>33</v>
      </c>
      <c r="D32" s="52">
        <v>1.1499999999999999</v>
      </c>
      <c r="E32" s="42">
        <f t="shared" si="5"/>
        <v>0.86956521739130443</v>
      </c>
      <c r="F32" s="56">
        <f t="shared" si="6"/>
        <v>0.66956521739130448</v>
      </c>
      <c r="G32" s="69">
        <f t="shared" ref="G32:G47" si="13">1/F32</f>
        <v>1.4935064935064932</v>
      </c>
      <c r="H32" s="73">
        <v>0</v>
      </c>
      <c r="I32" s="73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4">
        <v>29</v>
      </c>
      <c r="C33" s="66" t="s">
        <v>21</v>
      </c>
      <c r="D33" s="52">
        <v>1.67</v>
      </c>
      <c r="E33" s="42">
        <f t="shared" si="5"/>
        <v>0.5988023952095809</v>
      </c>
      <c r="F33" s="56">
        <f t="shared" si="6"/>
        <v>0.39880239520958088</v>
      </c>
      <c r="G33" s="69">
        <v>2.52</v>
      </c>
      <c r="H33" s="73">
        <v>0</v>
      </c>
      <c r="I33" s="73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4">
        <v>30</v>
      </c>
      <c r="C34" s="66" t="s">
        <v>44</v>
      </c>
      <c r="D34" s="52">
        <v>1.42</v>
      </c>
      <c r="E34" s="42">
        <f t="shared" si="5"/>
        <v>0.70422535211267612</v>
      </c>
      <c r="F34" s="56">
        <f t="shared" si="6"/>
        <v>0.50422535211267605</v>
      </c>
      <c r="G34" s="69">
        <f t="shared" si="13"/>
        <v>1.9832402234636872</v>
      </c>
      <c r="H34" s="73">
        <v>0</v>
      </c>
      <c r="I34" s="73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4">
        <v>31</v>
      </c>
      <c r="C35" s="66" t="s">
        <v>34</v>
      </c>
      <c r="D35" s="52">
        <v>1.27</v>
      </c>
      <c r="E35" s="42">
        <f t="shared" si="5"/>
        <v>0.78740157480314954</v>
      </c>
      <c r="F35" s="56">
        <f t="shared" si="6"/>
        <v>0.58740157480314958</v>
      </c>
      <c r="G35" s="69">
        <f t="shared" si="13"/>
        <v>1.7024128686327078</v>
      </c>
      <c r="H35" s="73">
        <v>1</v>
      </c>
      <c r="I35" s="73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4">
        <v>32</v>
      </c>
      <c r="C36" s="66" t="s">
        <v>15</v>
      </c>
      <c r="D36" s="52">
        <v>1.1299999999999999</v>
      </c>
      <c r="E36" s="42">
        <f t="shared" si="5"/>
        <v>0.88495575221238942</v>
      </c>
      <c r="F36" s="56">
        <f t="shared" si="6"/>
        <v>0.68495575221238947</v>
      </c>
      <c r="G36" s="69">
        <f t="shared" si="13"/>
        <v>1.4599483204134365</v>
      </c>
      <c r="H36" s="73">
        <v>0</v>
      </c>
      <c r="I36" s="73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4">
        <v>33</v>
      </c>
      <c r="C37" s="66" t="s">
        <v>36</v>
      </c>
      <c r="D37" s="52">
        <v>1.1299999999999999</v>
      </c>
      <c r="E37" s="42">
        <f t="shared" si="5"/>
        <v>0.88495575221238942</v>
      </c>
      <c r="F37" s="56">
        <f t="shared" si="6"/>
        <v>0.68495575221238947</v>
      </c>
      <c r="G37" s="69">
        <f t="shared" si="13"/>
        <v>1.4599483204134365</v>
      </c>
      <c r="H37" s="73">
        <v>0</v>
      </c>
      <c r="I37" s="73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4">
        <v>34</v>
      </c>
      <c r="C38" s="66" t="s">
        <v>17</v>
      </c>
      <c r="D38" s="52">
        <v>1.37</v>
      </c>
      <c r="E38" s="42">
        <f t="shared" si="5"/>
        <v>0.72992700729927007</v>
      </c>
      <c r="F38" s="56">
        <f t="shared" si="6"/>
        <v>0.52992700729927011</v>
      </c>
      <c r="G38" s="69">
        <f t="shared" si="13"/>
        <v>1.887052341597796</v>
      </c>
      <c r="H38" s="73">
        <v>0</v>
      </c>
      <c r="I38" s="73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4">
        <v>35</v>
      </c>
      <c r="C39" s="67" t="s">
        <v>46</v>
      </c>
      <c r="D39" s="9">
        <v>1.52</v>
      </c>
      <c r="E39" s="43">
        <f t="shared" si="5"/>
        <v>0.65789473684210531</v>
      </c>
      <c r="F39" s="61">
        <f t="shared" si="6"/>
        <v>0.4578947368421053</v>
      </c>
      <c r="G39" s="70">
        <v>2.2200000000000002</v>
      </c>
      <c r="H39" s="72">
        <v>1</v>
      </c>
      <c r="I39" s="72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6">
        <v>36</v>
      </c>
      <c r="C40" s="64" t="s">
        <v>21</v>
      </c>
      <c r="D40" s="52">
        <v>1.28</v>
      </c>
      <c r="E40" s="42">
        <f t="shared" si="5"/>
        <v>0.78125</v>
      </c>
      <c r="F40" s="56">
        <f t="shared" si="6"/>
        <v>0.58125000000000004</v>
      </c>
      <c r="G40" s="69">
        <f t="shared" si="13"/>
        <v>1.7204301075268815</v>
      </c>
      <c r="H40" s="73">
        <v>1</v>
      </c>
      <c r="I40" s="73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7">
        <v>37</v>
      </c>
      <c r="C41" s="64" t="s">
        <v>15</v>
      </c>
      <c r="D41" s="52">
        <v>1.54</v>
      </c>
      <c r="E41" s="42">
        <f t="shared" si="5"/>
        <v>0.64935064935064934</v>
      </c>
      <c r="F41" s="56">
        <f t="shared" si="6"/>
        <v>0.44935064935064933</v>
      </c>
      <c r="G41" s="69">
        <v>2.2400000000000002</v>
      </c>
      <c r="H41" s="73">
        <v>1</v>
      </c>
      <c r="I41" s="73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7">
        <v>38</v>
      </c>
      <c r="C42" s="64" t="s">
        <v>32</v>
      </c>
      <c r="D42" s="52">
        <v>1.7</v>
      </c>
      <c r="E42" s="42">
        <f t="shared" si="5"/>
        <v>0.58823529411764708</v>
      </c>
      <c r="F42" s="56">
        <f t="shared" si="6"/>
        <v>0.38823529411764707</v>
      </c>
      <c r="G42" s="69">
        <f t="shared" si="13"/>
        <v>2.5757575757575757</v>
      </c>
      <c r="H42" s="73">
        <v>1</v>
      </c>
      <c r="I42" s="73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7">
        <v>39</v>
      </c>
      <c r="C43" s="64" t="s">
        <v>17</v>
      </c>
      <c r="D43" s="52">
        <v>1.0900000000000001</v>
      </c>
      <c r="E43" s="42">
        <f t="shared" si="5"/>
        <v>0.9174311926605504</v>
      </c>
      <c r="F43" s="56">
        <f t="shared" si="6"/>
        <v>0.71743119266055033</v>
      </c>
      <c r="G43" s="69">
        <f t="shared" si="13"/>
        <v>1.3938618925831205</v>
      </c>
      <c r="H43" s="73">
        <v>0</v>
      </c>
      <c r="I43" s="73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7">
        <v>40</v>
      </c>
      <c r="C44" s="64" t="s">
        <v>34</v>
      </c>
      <c r="D44" s="52">
        <v>1.28</v>
      </c>
      <c r="E44" s="42">
        <f t="shared" si="5"/>
        <v>0.78125</v>
      </c>
      <c r="F44" s="56">
        <f t="shared" si="6"/>
        <v>0.58125000000000004</v>
      </c>
      <c r="G44" s="69">
        <f t="shared" si="13"/>
        <v>1.7204301075268815</v>
      </c>
      <c r="H44" s="73">
        <v>1</v>
      </c>
      <c r="I44" s="73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7">
        <v>41</v>
      </c>
      <c r="C45" s="64" t="s">
        <v>36</v>
      </c>
      <c r="D45" s="52">
        <v>1.64</v>
      </c>
      <c r="E45" s="42">
        <f t="shared" si="5"/>
        <v>0.6097560975609756</v>
      </c>
      <c r="F45" s="56">
        <f t="shared" si="6"/>
        <v>0.40975609756097559</v>
      </c>
      <c r="G45" s="69">
        <f t="shared" si="13"/>
        <v>2.4404761904761907</v>
      </c>
      <c r="H45" s="73">
        <v>1</v>
      </c>
      <c r="I45" s="73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7">
        <v>42</v>
      </c>
      <c r="C46" s="64" t="s">
        <v>18</v>
      </c>
      <c r="D46" s="52">
        <v>1.2</v>
      </c>
      <c r="E46" s="42">
        <f t="shared" si="5"/>
        <v>0.83333333333333337</v>
      </c>
      <c r="F46" s="56">
        <f t="shared" si="6"/>
        <v>0.6333333333333333</v>
      </c>
      <c r="G46" s="69">
        <f t="shared" si="13"/>
        <v>1.5789473684210527</v>
      </c>
      <c r="H46" s="73">
        <v>0</v>
      </c>
      <c r="I46" s="73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7">
        <v>43</v>
      </c>
      <c r="C47" s="64" t="s">
        <v>19</v>
      </c>
      <c r="D47" s="52">
        <v>1.61</v>
      </c>
      <c r="E47" s="42">
        <f t="shared" si="5"/>
        <v>0.6211180124223602</v>
      </c>
      <c r="F47" s="56">
        <f t="shared" si="6"/>
        <v>0.42111801242236019</v>
      </c>
      <c r="G47" s="69">
        <f t="shared" si="13"/>
        <v>2.3746312684365787</v>
      </c>
      <c r="H47" s="73">
        <v>0</v>
      </c>
      <c r="I47" s="73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5">
        <v>44</v>
      </c>
      <c r="C48" s="57" t="s">
        <v>15</v>
      </c>
      <c r="D48" s="23">
        <v>1.76</v>
      </c>
      <c r="E48" s="41">
        <f t="shared" ref="E48:E56" si="17">1/D48</f>
        <v>0.56818181818181823</v>
      </c>
      <c r="F48" s="60">
        <f t="shared" ref="F48:F56" si="18">E48-0.2</f>
        <v>0.36818181818181822</v>
      </c>
      <c r="G48" s="68">
        <f t="shared" ref="G48:G56" si="19">1/F48</f>
        <v>2.716049382716049</v>
      </c>
      <c r="H48" s="77">
        <v>1</v>
      </c>
      <c r="I48" s="77" t="s">
        <v>7</v>
      </c>
      <c r="J48" s="24">
        <f t="shared" ref="J48:J57" si="20">IF(H48=0,0,IF(I48="WON",(G48-1)*0.94,-1))</f>
        <v>1.6130864197530861</v>
      </c>
      <c r="K48" s="25">
        <f t="shared" ref="K48:K57" si="21">J48*J$3</f>
        <v>89.606950617283928</v>
      </c>
    </row>
    <row r="49" spans="2:11" x14ac:dyDescent="0.3">
      <c r="B49" s="66">
        <v>45</v>
      </c>
      <c r="C49" s="44" t="s">
        <v>17</v>
      </c>
      <c r="D49" s="52">
        <v>1.1000000000000001</v>
      </c>
      <c r="E49" s="42">
        <f t="shared" si="17"/>
        <v>0.90909090909090906</v>
      </c>
      <c r="F49" s="56">
        <f t="shared" si="18"/>
        <v>0.70909090909090899</v>
      </c>
      <c r="G49" s="69">
        <f t="shared" si="19"/>
        <v>1.4102564102564104</v>
      </c>
      <c r="H49" s="73">
        <v>0</v>
      </c>
      <c r="I49" s="73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6">
        <v>46</v>
      </c>
      <c r="C50" s="44" t="s">
        <v>14</v>
      </c>
      <c r="D50" s="52">
        <v>1.93</v>
      </c>
      <c r="E50" s="42">
        <f t="shared" si="17"/>
        <v>0.5181347150259068</v>
      </c>
      <c r="F50" s="56">
        <f t="shared" si="18"/>
        <v>0.31813471502590679</v>
      </c>
      <c r="G50" s="69">
        <v>3.15</v>
      </c>
      <c r="H50" s="73">
        <v>1</v>
      </c>
      <c r="I50" s="73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6">
        <v>47</v>
      </c>
      <c r="C51" s="44" t="s">
        <v>18</v>
      </c>
      <c r="D51" s="52">
        <v>1.41</v>
      </c>
      <c r="E51" s="42">
        <f t="shared" si="17"/>
        <v>0.70921985815602839</v>
      </c>
      <c r="F51" s="56">
        <f t="shared" si="18"/>
        <v>0.50921985815602833</v>
      </c>
      <c r="G51" s="69">
        <f t="shared" si="19"/>
        <v>1.9637883008356547</v>
      </c>
      <c r="H51" s="73">
        <v>1</v>
      </c>
      <c r="I51" s="73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6">
        <v>48</v>
      </c>
      <c r="C52" s="44" t="s">
        <v>35</v>
      </c>
      <c r="D52" s="52">
        <v>1.1200000000000001</v>
      </c>
      <c r="E52" s="42">
        <f t="shared" si="17"/>
        <v>0.89285714285714279</v>
      </c>
      <c r="F52" s="56">
        <f t="shared" si="18"/>
        <v>0.69285714285714284</v>
      </c>
      <c r="G52" s="69">
        <v>1.45</v>
      </c>
      <c r="H52" s="73">
        <v>1</v>
      </c>
      <c r="I52" s="73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6">
        <v>49</v>
      </c>
      <c r="C53" s="44" t="s">
        <v>19</v>
      </c>
      <c r="D53" s="52">
        <v>1.45</v>
      </c>
      <c r="E53" s="42">
        <f t="shared" si="17"/>
        <v>0.68965517241379315</v>
      </c>
      <c r="F53" s="56">
        <f t="shared" si="18"/>
        <v>0.48965517241379314</v>
      </c>
      <c r="G53" s="69">
        <f t="shared" si="19"/>
        <v>2.0422535211267605</v>
      </c>
      <c r="H53" s="73">
        <v>1</v>
      </c>
      <c r="I53" s="73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6">
        <v>50</v>
      </c>
      <c r="C54" s="44" t="s">
        <v>34</v>
      </c>
      <c r="D54" s="52">
        <v>1.51</v>
      </c>
      <c r="E54" s="42">
        <f t="shared" si="17"/>
        <v>0.66225165562913912</v>
      </c>
      <c r="F54" s="56">
        <f t="shared" si="18"/>
        <v>0.46225165562913911</v>
      </c>
      <c r="G54" s="69">
        <v>2.17</v>
      </c>
      <c r="H54" s="73">
        <v>0</v>
      </c>
      <c r="I54" s="73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6">
        <v>51</v>
      </c>
      <c r="C55" s="44" t="s">
        <v>33</v>
      </c>
      <c r="D55" s="52">
        <v>1.1200000000000001</v>
      </c>
      <c r="E55" s="42">
        <f t="shared" si="17"/>
        <v>0.89285714285714279</v>
      </c>
      <c r="F55" s="56">
        <f t="shared" si="18"/>
        <v>0.69285714285714284</v>
      </c>
      <c r="G55" s="69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7">
        <v>52</v>
      </c>
      <c r="C56" s="45" t="s">
        <v>48</v>
      </c>
      <c r="D56" s="9">
        <v>1.17</v>
      </c>
      <c r="E56" s="43">
        <f t="shared" si="17"/>
        <v>0.85470085470085477</v>
      </c>
      <c r="F56" s="61">
        <f t="shared" si="18"/>
        <v>0.65470085470085482</v>
      </c>
      <c r="G56" s="69">
        <f t="shared" si="19"/>
        <v>1.5274151436031329</v>
      </c>
      <c r="H56" s="79">
        <v>1</v>
      </c>
      <c r="I56" s="79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ht="15" thickBot="1" x14ac:dyDescent="0.35">
      <c r="B57" s="46">
        <v>53</v>
      </c>
      <c r="C57" s="63" t="s">
        <v>17</v>
      </c>
      <c r="D57" s="77">
        <v>1.1200000000000001</v>
      </c>
      <c r="E57" s="43">
        <f t="shared" ref="E57:E65" si="22">1/D57</f>
        <v>0.89285714285714279</v>
      </c>
      <c r="F57" s="61">
        <f t="shared" ref="F57:F65" si="23">E57-0.2</f>
        <v>0.69285714285714284</v>
      </c>
      <c r="G57" s="68">
        <f t="shared" ref="G57:G65" si="24">1/F57</f>
        <v>1.4432989690721649</v>
      </c>
      <c r="H57" s="23">
        <v>1</v>
      </c>
      <c r="I57" s="62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ht="15" thickBot="1" x14ac:dyDescent="0.35">
      <c r="B58" s="47">
        <v>54</v>
      </c>
      <c r="C58" s="83" t="s">
        <v>18</v>
      </c>
      <c r="D58" s="79">
        <v>1.18</v>
      </c>
      <c r="E58" s="43">
        <f t="shared" si="22"/>
        <v>0.84745762711864414</v>
      </c>
      <c r="F58" s="61">
        <f t="shared" si="23"/>
        <v>0.64745762711864407</v>
      </c>
      <c r="G58" s="69">
        <f t="shared" si="24"/>
        <v>1.544502617801047</v>
      </c>
      <c r="H58" s="82">
        <v>1</v>
      </c>
      <c r="I58" s="74" t="s">
        <v>7</v>
      </c>
      <c r="J58" s="80">
        <f t="shared" si="25"/>
        <v>0.51183246073298416</v>
      </c>
      <c r="K58" s="27">
        <f t="shared" si="26"/>
        <v>28.432293193717268</v>
      </c>
    </row>
    <row r="59" spans="2:11" ht="15" thickBot="1" x14ac:dyDescent="0.35">
      <c r="B59" s="47">
        <v>55</v>
      </c>
      <c r="C59" s="83" t="s">
        <v>19</v>
      </c>
      <c r="D59" s="79">
        <v>1.25</v>
      </c>
      <c r="E59" s="43">
        <f t="shared" si="22"/>
        <v>0.8</v>
      </c>
      <c r="F59" s="61">
        <f t="shared" si="23"/>
        <v>0.60000000000000009</v>
      </c>
      <c r="G59" s="69">
        <f t="shared" si="24"/>
        <v>1.6666666666666665</v>
      </c>
      <c r="H59" s="82">
        <v>0</v>
      </c>
      <c r="I59" s="74" t="s">
        <v>7</v>
      </c>
      <c r="J59" s="80">
        <f t="shared" si="25"/>
        <v>0</v>
      </c>
      <c r="K59" s="27">
        <f t="shared" si="26"/>
        <v>0</v>
      </c>
    </row>
    <row r="60" spans="2:11" ht="15" thickBot="1" x14ac:dyDescent="0.35">
      <c r="B60" s="47">
        <v>56</v>
      </c>
      <c r="C60" s="83" t="s">
        <v>32</v>
      </c>
      <c r="D60" s="79">
        <v>1.53</v>
      </c>
      <c r="E60" s="43">
        <f t="shared" si="22"/>
        <v>0.65359477124183007</v>
      </c>
      <c r="F60" s="61">
        <f t="shared" si="23"/>
        <v>0.45359477124183006</v>
      </c>
      <c r="G60" s="69">
        <f t="shared" si="24"/>
        <v>2.2046109510086453</v>
      </c>
      <c r="H60" s="82"/>
      <c r="I60" s="74"/>
      <c r="J60" s="80">
        <f t="shared" si="25"/>
        <v>0</v>
      </c>
      <c r="K60" s="27">
        <f t="shared" si="26"/>
        <v>0</v>
      </c>
    </row>
    <row r="61" spans="2:11" ht="15" thickBot="1" x14ac:dyDescent="0.35">
      <c r="B61" s="47">
        <v>57</v>
      </c>
      <c r="C61" s="83" t="s">
        <v>21</v>
      </c>
      <c r="D61" s="79">
        <v>1.49</v>
      </c>
      <c r="E61" s="43">
        <f t="shared" si="22"/>
        <v>0.67114093959731547</v>
      </c>
      <c r="F61" s="61">
        <f t="shared" si="23"/>
        <v>0.47114093959731546</v>
      </c>
      <c r="G61" s="69">
        <f t="shared" si="24"/>
        <v>2.1225071225071224</v>
      </c>
      <c r="H61" s="82"/>
      <c r="I61" s="74"/>
      <c r="J61" s="80">
        <f t="shared" si="25"/>
        <v>0</v>
      </c>
      <c r="K61" s="27">
        <f t="shared" si="26"/>
        <v>0</v>
      </c>
    </row>
    <row r="62" spans="2:11" ht="15" thickBot="1" x14ac:dyDescent="0.35">
      <c r="B62" s="47">
        <v>58</v>
      </c>
      <c r="C62" s="83" t="s">
        <v>20</v>
      </c>
      <c r="D62" s="79">
        <v>1.69</v>
      </c>
      <c r="E62" s="43">
        <f t="shared" si="22"/>
        <v>0.59171597633136097</v>
      </c>
      <c r="F62" s="61">
        <f t="shared" si="23"/>
        <v>0.39171597633136096</v>
      </c>
      <c r="G62" s="69">
        <f t="shared" si="24"/>
        <v>2.5528700906344408</v>
      </c>
      <c r="H62" s="82"/>
      <c r="I62" s="74"/>
      <c r="J62" s="80">
        <f t="shared" si="25"/>
        <v>0</v>
      </c>
      <c r="K62" s="27">
        <f t="shared" si="26"/>
        <v>0</v>
      </c>
    </row>
    <row r="63" spans="2:11" ht="15" thickBot="1" x14ac:dyDescent="0.35">
      <c r="B63" s="47">
        <v>59</v>
      </c>
      <c r="C63" s="83" t="s">
        <v>15</v>
      </c>
      <c r="D63" s="79">
        <v>1.21</v>
      </c>
      <c r="E63" s="43">
        <f t="shared" si="22"/>
        <v>0.82644628099173556</v>
      </c>
      <c r="F63" s="61">
        <f t="shared" si="23"/>
        <v>0.62644628099173549</v>
      </c>
      <c r="G63" s="69">
        <f t="shared" si="24"/>
        <v>1.5963060686015833</v>
      </c>
      <c r="H63" s="82"/>
      <c r="I63" s="74"/>
      <c r="J63" s="80">
        <f t="shared" si="25"/>
        <v>0</v>
      </c>
      <c r="K63" s="27">
        <f t="shared" si="26"/>
        <v>0</v>
      </c>
    </row>
    <row r="64" spans="2:11" ht="15" thickBot="1" x14ac:dyDescent="0.35">
      <c r="B64" s="47">
        <v>60</v>
      </c>
      <c r="C64" s="83" t="s">
        <v>36</v>
      </c>
      <c r="D64" s="79">
        <v>1.1200000000000001</v>
      </c>
      <c r="E64" s="43">
        <f t="shared" si="22"/>
        <v>0.89285714285714279</v>
      </c>
      <c r="F64" s="61">
        <f t="shared" si="23"/>
        <v>0.69285714285714284</v>
      </c>
      <c r="G64" s="69">
        <f t="shared" si="24"/>
        <v>1.4432989690721649</v>
      </c>
      <c r="H64" s="82"/>
      <c r="I64" s="74"/>
      <c r="J64" s="80">
        <f t="shared" si="25"/>
        <v>0</v>
      </c>
      <c r="K64" s="27">
        <f t="shared" si="26"/>
        <v>0</v>
      </c>
    </row>
    <row r="65" spans="2:11" ht="15" thickBot="1" x14ac:dyDescent="0.35">
      <c r="B65" s="48">
        <v>61</v>
      </c>
      <c r="C65" s="84" t="s">
        <v>46</v>
      </c>
      <c r="D65" s="78">
        <v>1.28</v>
      </c>
      <c r="E65" s="43">
        <f t="shared" si="22"/>
        <v>0.78125</v>
      </c>
      <c r="F65" s="61">
        <f t="shared" si="23"/>
        <v>0.58125000000000004</v>
      </c>
      <c r="G65" s="70">
        <f t="shared" si="24"/>
        <v>1.7204301075268815</v>
      </c>
      <c r="H65" s="9"/>
      <c r="I65" s="76"/>
      <c r="J65" s="81">
        <f t="shared" si="25"/>
        <v>0</v>
      </c>
      <c r="K65" s="29">
        <f t="shared" si="26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4"/>
  <sheetViews>
    <sheetView tabSelected="1" zoomScale="165" workbookViewId="0">
      <selection activeCell="H12" sqref="H12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ht="15" thickBot="1" x14ac:dyDescent="0.35">
      <c r="B5" s="2">
        <v>1</v>
      </c>
      <c r="C5" s="30" t="s">
        <v>37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5" thickBot="1" x14ac:dyDescent="0.35">
      <c r="B6" s="2">
        <v>2</v>
      </c>
      <c r="C6" s="30" t="s">
        <v>39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10</v>
      </c>
      <c r="J6" s="15">
        <f>IF(H6=0,0,IF(I6="WON",(G6-1),-1))</f>
        <v>-1</v>
      </c>
      <c r="K6" s="25">
        <f>J6*J$3</f>
        <v>-55.55</v>
      </c>
      <c r="L6" s="51"/>
    </row>
    <row r="7" spans="2:12" ht="15" thickBot="1" x14ac:dyDescent="0.35">
      <c r="B7" s="2">
        <v>3</v>
      </c>
      <c r="C7" s="54" t="s">
        <v>40</v>
      </c>
      <c r="D7" s="31">
        <v>1.1100000000000001</v>
      </c>
      <c r="E7" s="20">
        <f t="shared" ref="E7:E11" si="0">1/D7</f>
        <v>0.9009009009009008</v>
      </c>
      <c r="F7" s="21">
        <f t="shared" ref="F7:F11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5" thickBot="1" x14ac:dyDescent="0.35">
      <c r="B8" s="2">
        <v>4</v>
      </c>
      <c r="C8" s="54" t="s">
        <v>41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5" thickBot="1" x14ac:dyDescent="0.35">
      <c r="B9" s="2">
        <v>5</v>
      </c>
      <c r="C9" s="54" t="s">
        <v>49</v>
      </c>
      <c r="D9" s="31">
        <v>1.46</v>
      </c>
      <c r="E9" s="20">
        <f t="shared" si="0"/>
        <v>0.68493150684931503</v>
      </c>
      <c r="F9" s="21">
        <f t="shared" si="1"/>
        <v>0.48493150684931502</v>
      </c>
      <c r="G9" s="22">
        <f t="shared" ref="G9:G11" si="5">1/F9</f>
        <v>2.0621468926553677</v>
      </c>
      <c r="H9" s="30">
        <v>0</v>
      </c>
      <c r="I9" s="31" t="s">
        <v>7</v>
      </c>
      <c r="J9" s="15">
        <f t="shared" ref="J9:J10" si="6">IF(H9=0,0,IF(I9="WON",(G9-1),-1))</f>
        <v>0</v>
      </c>
      <c r="K9" s="25">
        <f t="shared" si="4"/>
        <v>0</v>
      </c>
    </row>
    <row r="10" spans="2:12" ht="15" thickBot="1" x14ac:dyDescent="0.35">
      <c r="B10" s="2">
        <v>6</v>
      </c>
      <c r="C10" s="54" t="s">
        <v>50</v>
      </c>
      <c r="D10" s="31">
        <v>1.06</v>
      </c>
      <c r="E10" s="20">
        <f t="shared" si="0"/>
        <v>0.94339622641509424</v>
      </c>
      <c r="F10" s="21">
        <f t="shared" si="1"/>
        <v>0.74339622641509417</v>
      </c>
      <c r="G10" s="22">
        <f t="shared" si="5"/>
        <v>1.3451776649746197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  <row r="11" spans="2:12" ht="15" thickBot="1" x14ac:dyDescent="0.35">
      <c r="B11" s="2">
        <v>7</v>
      </c>
      <c r="C11" s="85" t="s">
        <v>51</v>
      </c>
      <c r="D11" s="86">
        <v>1.45</v>
      </c>
      <c r="E11" s="87">
        <f t="shared" si="0"/>
        <v>0.68965517241379315</v>
      </c>
      <c r="F11" s="6">
        <f t="shared" si="1"/>
        <v>0.48965517241379314</v>
      </c>
      <c r="G11" s="88">
        <f t="shared" si="5"/>
        <v>2.0422535211267605</v>
      </c>
      <c r="H11" s="89"/>
    </row>
    <row r="12" spans="2:12" ht="15" thickBot="1" x14ac:dyDescent="0.35">
      <c r="B12" s="2">
        <v>8</v>
      </c>
    </row>
    <row r="13" spans="2:12" ht="15" thickBot="1" x14ac:dyDescent="0.35">
      <c r="B13" s="2">
        <v>9</v>
      </c>
    </row>
    <row r="14" spans="2:12" x14ac:dyDescent="0.3">
      <c r="B14" s="2">
        <v>10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L12" sqref="L12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2" t="s">
        <v>28</v>
      </c>
      <c r="L3" s="7"/>
      <c r="M3" s="39"/>
      <c r="N3" s="39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3" t="s">
        <v>24</v>
      </c>
      <c r="F4" s="13" t="s">
        <v>25</v>
      </c>
      <c r="G4" s="34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5"/>
      <c r="D5" s="35"/>
      <c r="E5" s="35"/>
      <c r="F5" s="35"/>
      <c r="G5" s="35"/>
      <c r="H5" s="36"/>
      <c r="I5" s="37"/>
      <c r="J5" s="36">
        <f t="shared" ref="J5:J6" si="0">IF(AND(I5&lt;=F5,I5&gt;=E5),0,IF(I5&lt;E5,MAX(I5-E5,D5-E5),MAX(F5-I5,F5-G5)))</f>
        <v>0</v>
      </c>
      <c r="K5" s="40"/>
      <c r="L5" s="38">
        <f t="shared" ref="L5:L6" si="1">(H5+J5)*100-K5</f>
        <v>0</v>
      </c>
    </row>
    <row r="6" spans="2:14" x14ac:dyDescent="0.3">
      <c r="B6" s="2">
        <v>2</v>
      </c>
      <c r="C6" s="55"/>
      <c r="D6" s="35"/>
      <c r="E6" s="35"/>
      <c r="F6" s="35"/>
      <c r="G6" s="35"/>
      <c r="H6" s="36"/>
      <c r="I6" s="37"/>
      <c r="J6" s="36">
        <f t="shared" si="0"/>
        <v>0</v>
      </c>
      <c r="K6" s="40"/>
      <c r="L6" s="38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2026-05-15T12:44:59Z</dcterms:modified>
</cp:coreProperties>
</file>