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Fund-Site\"/>
    </mc:Choice>
  </mc:AlternateContent>
  <xr:revisionPtr revIDLastSave="0" documentId="13_ncr:1_{6FB08219-F58C-4F1D-A888-806F4DEB7D7B}" xr6:coauthVersionLast="47" xr6:coauthVersionMax="47" xr10:uidLastSave="{00000000-0000-0000-0000-000000000000}"/>
  <bookViews>
    <workbookView xWindow="-108" yWindow="-108" windowWidth="24792" windowHeight="14856" xr2:uid="{C475443F-0BD3-43A3-A939-51219F6DA813}"/>
  </bookViews>
  <sheets>
    <sheet name="AFL" sheetId="1" r:id="rId1"/>
    <sheet name="Tennis" sheetId="2" r:id="rId2"/>
    <sheet name="Cricket" sheetId="9" r:id="rId3"/>
    <sheet name="Basketball" sheetId="10" r:id="rId4"/>
    <sheet name="NFL" sheetId="11" r:id="rId5"/>
    <sheet name="Options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13" l="1"/>
  <c r="K7" i="13"/>
  <c r="K8" i="13"/>
  <c r="K9" i="13"/>
  <c r="I6" i="13"/>
  <c r="I7" i="13"/>
  <c r="I8" i="13"/>
  <c r="I9" i="13"/>
  <c r="I5" i="13"/>
  <c r="E5" i="11"/>
  <c r="F5" i="11" s="1"/>
  <c r="G5" i="11" s="1"/>
  <c r="J5" i="11" s="1"/>
  <c r="K5" i="11" s="1"/>
  <c r="E5" i="10"/>
  <c r="F5" i="10" s="1"/>
  <c r="G5" i="10" s="1"/>
  <c r="J5" i="10" s="1"/>
  <c r="K5" i="10" s="1"/>
  <c r="E5" i="9"/>
  <c r="F5" i="9" s="1"/>
  <c r="G5" i="9" s="1"/>
  <c r="J5" i="9" s="1"/>
  <c r="K5" i="9" s="1"/>
  <c r="J5" i="2"/>
  <c r="K5" i="2" s="1"/>
  <c r="E5" i="2"/>
  <c r="F5" i="2" s="1"/>
  <c r="G5" i="2" s="1"/>
  <c r="J7" i="1"/>
  <c r="K7" i="1" s="1"/>
  <c r="J8" i="1"/>
  <c r="K8" i="1" s="1"/>
  <c r="J9" i="1"/>
  <c r="K9" i="1" s="1"/>
  <c r="J10" i="1"/>
  <c r="K10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E11" i="1"/>
  <c r="F11" i="1" s="1"/>
  <c r="G11" i="1" s="1"/>
  <c r="E12" i="1"/>
  <c r="F12" i="1" s="1"/>
  <c r="G12" i="1" s="1"/>
  <c r="J12" i="1" s="1"/>
  <c r="K12" i="1" s="1"/>
  <c r="E6" i="1"/>
  <c r="F6" i="1" s="1"/>
  <c r="G6" i="1" s="1"/>
  <c r="J6" i="1" s="1"/>
  <c r="K6" i="1" s="1"/>
  <c r="E5" i="1"/>
  <c r="F5" i="1" s="1"/>
  <c r="G5" i="1" s="1"/>
  <c r="K5" i="13" l="1"/>
</calcChain>
</file>

<file path=xl/sharedStrings.xml><?xml version="1.0" encoding="utf-8"?>
<sst xmlns="http://schemas.openxmlformats.org/spreadsheetml/2006/main" count="92" uniqueCount="34">
  <si>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</si>
  <si>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</si>
  <si>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</si>
  <si>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</si>
  <si>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</si>
  <si>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</si>
  <si>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</si>
  <si>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</si>
  <si>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</si>
  <si>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</si>
  <si>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</t>
    </r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</si>
  <si>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</si>
  <si>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</si>
  <si>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</si>
  <si>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</si>
  <si>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</si>
  <si>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</si>
  <si>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</si>
  <si>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</si>
  <si>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</si>
  <si>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</si>
  <si>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</si>
  <si>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</si>
  <si>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No Matches Yet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</si>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</sst>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9" fontId="0" fillId="2" borderId="5" xfId="1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7" borderId="0" xfId="0" applyNumberFormat="1" applyFont="1" applyFill="1" applyAlignment="1">
      <alignment horizontal="center"/>
    </xf>
    <xf numFmtId="0" fontId="0" fillId="7" borderId="0" xfId="0" applyFill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164" fontId="0" fillId="8" borderId="0" xfId="2" applyNumberFormat="1" applyFont="1" applyFill="1" applyBorder="1" applyAlignment="1">
      <alignment horizontal="center"/>
    </xf>
    <xf numFmtId="164" fontId="0" fillId="8" borderId="6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44" fontId="0" fillId="9" borderId="0" xfId="2" applyFont="1" applyFill="1" applyBorder="1" applyAlignment="1">
      <alignment horizontal="center"/>
    </xf>
    <xf numFmtId="44" fontId="5" fillId="7" borderId="0" xfId="2" applyFont="1" applyFill="1" applyBorder="1" applyAlignment="1">
      <alignment horizontal="center"/>
    </xf>
    <xf numFmtId="44" fontId="0" fillId="9" borderId="6" xfId="2" applyFont="1" applyFill="1" applyBorder="1" applyAlignment="1">
      <alignment horizontal="center"/>
    </xf>
    <xf numFmtId="44" fontId="5" fillId="7" borderId="6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164" fontId="3" fillId="6" borderId="4" xfId="2" applyNumberFormat="1" applyFont="1" applyFill="1" applyBorder="1" applyAlignment="1">
      <alignment horizontal="center"/>
    </xf>
    <xf numFmtId="164" fontId="3" fillId="6" borderId="7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9" xfId="2" applyNumberFormat="1" applyFont="1" applyFill="1" applyBorder="1" applyAlignment="1">
      <alignment horizontal="center"/>
    </xf>
    <xf numFmtId="164" fontId="3" fillId="6" borderId="10" xfId="2" applyNumberFormat="1" applyFont="1" applyFill="1" applyBorder="1" applyAlignment="1">
      <alignment horizontal="center"/>
    </xf>
    <xf numFmtId="164" fontId="3" fillId="6" borderId="11" xfId="2" applyNumberFormat="1" applyFont="1" applyFill="1" applyBorder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12"/>
  <sheetViews>
    <sheetView tabSelected="1" zoomScale="178" workbookViewId="0">
      <pane ySplit="4" topLeftCell="A5" activePane="bottomLeft" state="frozen"/>
      <selection pane="bottomLeft" activeCell="D9" sqref="D9"/>
    </sheetView>
  </sheetViews>
  <sheetFormatPr defaultRowHeight="14.4" x14ac:dyDescent="0.3"/>
  <cols>
    <col min="1" max="1" width="6.554687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14</v>
      </c>
      <c r="C2"/>
    </row>
    <row r="3" spans="2:11" ht="15" thickBot="1" x14ac:dyDescent="0.35">
      <c r="I3" s="9" t="s">
        <v>9</v>
      </c>
      <c r="J3" s="10">
        <v>55.55</v>
      </c>
      <c r="K3" s="10"/>
    </row>
    <row r="4" spans="2:11" ht="15" thickBot="1" x14ac:dyDescent="0.35">
      <c r="B4" s="15" t="s">
        <v>0</v>
      </c>
      <c r="C4" s="15" t="s">
        <v>13</v>
      </c>
      <c r="D4" s="18" t="s">
        <v>2</v>
      </c>
      <c r="E4" s="15" t="s">
        <v>3</v>
      </c>
      <c r="F4" s="19" t="s">
        <v>4</v>
      </c>
      <c r="G4" s="20" t="s">
        <v>5</v>
      </c>
      <c r="H4" s="20" t="s">
        <v>1</v>
      </c>
      <c r="I4" s="21" t="s">
        <v>6</v>
      </c>
      <c r="J4" s="16" t="s">
        <v>8</v>
      </c>
      <c r="K4" s="16" t="s">
        <v>12</v>
      </c>
    </row>
    <row r="5" spans="2:11" x14ac:dyDescent="0.3">
      <c r="B5" s="2">
        <v>1</v>
      </c>
      <c r="C5" s="2" t="s">
        <v>18</v>
      </c>
      <c r="D5" s="22">
        <v>1.34</v>
      </c>
      <c r="E5" s="23">
        <f>1/D5</f>
        <v>0.74626865671641784</v>
      </c>
      <c r="F5" s="24">
        <f>E5-0.2</f>
        <v>0.54626865671641789</v>
      </c>
      <c r="G5" s="25">
        <f>1/F5</f>
        <v>1.8306010928961749</v>
      </c>
      <c r="H5" s="26">
        <v>0</v>
      </c>
      <c r="I5" s="26" t="s">
        <v>7</v>
      </c>
      <c r="J5" s="29">
        <f>IF(H5=0,0,IF(I5="WON",(G5-1)*0.95,-1))</f>
        <v>0</v>
      </c>
      <c r="K5" s="30">
        <f>J5*J$3</f>
        <v>0</v>
      </c>
    </row>
    <row r="6" spans="2:11" x14ac:dyDescent="0.3">
      <c r="B6" s="3">
        <v>2</v>
      </c>
      <c r="C6" s="3" t="s">
        <v>17</v>
      </c>
      <c r="D6" s="5">
        <v>1.77</v>
      </c>
      <c r="E6" s="6">
        <f>1/D6</f>
        <v>0.56497175141242939</v>
      </c>
      <c r="F6" s="7">
        <f>E6-0.2</f>
        <v>0.36497175141242938</v>
      </c>
      <c r="G6" s="27">
        <f>1/F6</f>
        <v>2.7399380804953561</v>
      </c>
      <c r="H6" s="28">
        <v>0</v>
      </c>
      <c r="I6" s="28" t="s">
        <v>11</v>
      </c>
      <c r="J6" s="31">
        <f t="shared" ref="J6:J12" si="0">IF(H6=0,0,IF(I6="WON",(G6-1)*0.95,-1))</f>
        <v>0</v>
      </c>
      <c r="K6" s="32">
        <f t="shared" ref="K6:K12" si="1">J6*J$3</f>
        <v>0</v>
      </c>
    </row>
    <row r="7" spans="2:11" x14ac:dyDescent="0.3">
      <c r="B7" s="3">
        <v>3</v>
      </c>
      <c r="C7" s="3" t="s">
        <v>16</v>
      </c>
      <c r="D7" s="5">
        <v>1.91</v>
      </c>
      <c r="E7" s="6">
        <f t="shared" ref="E7:E12" si="2">1/D7</f>
        <v>0.52356020942408377</v>
      </c>
      <c r="F7" s="7">
        <f t="shared" ref="F7:F12" si="3">E7-0.2</f>
        <v>0.32356020942408376</v>
      </c>
      <c r="G7" s="27">
        <v>3.1</v>
      </c>
      <c r="H7" s="28">
        <v>0</v>
      </c>
      <c r="I7" s="28" t="s">
        <v>7</v>
      </c>
      <c r="J7" s="31">
        <f t="shared" si="0"/>
        <v>0</v>
      </c>
      <c r="K7" s="32">
        <f t="shared" si="1"/>
        <v>0</v>
      </c>
    </row>
    <row r="8" spans="2:11" x14ac:dyDescent="0.3">
      <c r="B8" s="3">
        <v>4</v>
      </c>
      <c r="C8" s="3" t="s">
        <v>15</v>
      </c>
      <c r="D8" s="5">
        <v>1.44</v>
      </c>
      <c r="E8" s="6">
        <f t="shared" si="2"/>
        <v>0.69444444444444442</v>
      </c>
      <c r="F8" s="7">
        <f t="shared" si="3"/>
        <v>0.49444444444444441</v>
      </c>
      <c r="G8" s="27">
        <f t="shared" ref="G8:G12" si="4">1/F8</f>
        <v>2.0224719101123596</v>
      </c>
      <c r="H8" s="28">
        <v>0</v>
      </c>
      <c r="I8" s="28" t="s">
        <v>7</v>
      </c>
      <c r="J8" s="31">
        <f t="shared" si="0"/>
        <v>0</v>
      </c>
      <c r="K8" s="32">
        <f t="shared" si="1"/>
        <v>0</v>
      </c>
    </row>
    <row r="9" spans="2:11" x14ac:dyDescent="0.3">
      <c r="B9" s="3">
        <v>5</v>
      </c>
      <c r="C9" s="3" t="s">
        <v>19</v>
      </c>
      <c r="D9" s="5">
        <v>1.21</v>
      </c>
      <c r="E9" s="6">
        <f t="shared" si="2"/>
        <v>0.82644628099173556</v>
      </c>
      <c r="F9" s="7">
        <f t="shared" si="3"/>
        <v>0.62644628099173549</v>
      </c>
      <c r="G9" s="27">
        <f t="shared" si="4"/>
        <v>1.5963060686015833</v>
      </c>
      <c r="H9" s="28">
        <v>0</v>
      </c>
      <c r="I9" s="28"/>
      <c r="J9" s="31">
        <f t="shared" si="0"/>
        <v>0</v>
      </c>
      <c r="K9" s="32">
        <f t="shared" si="1"/>
        <v>0</v>
      </c>
    </row>
    <row r="10" spans="2:11" x14ac:dyDescent="0.3">
      <c r="B10" s="3">
        <v>6</v>
      </c>
      <c r="C10" s="3" t="s">
        <v>20</v>
      </c>
      <c r="D10" s="5">
        <v>1.37</v>
      </c>
      <c r="E10" s="6">
        <f t="shared" si="2"/>
        <v>0.72992700729927007</v>
      </c>
      <c r="F10" s="7">
        <f t="shared" si="3"/>
        <v>0.52992700729927011</v>
      </c>
      <c r="G10" s="27">
        <f t="shared" si="4"/>
        <v>1.887052341597796</v>
      </c>
      <c r="H10" s="28">
        <v>0</v>
      </c>
      <c r="I10" s="28"/>
      <c r="J10" s="31">
        <f t="shared" si="0"/>
        <v>0</v>
      </c>
      <c r="K10" s="32">
        <f t="shared" si="1"/>
        <v>0</v>
      </c>
    </row>
    <row r="11" spans="2:11" x14ac:dyDescent="0.3">
      <c r="B11" s="3">
        <v>7</v>
      </c>
      <c r="C11" s="3" t="s">
        <v>21</v>
      </c>
      <c r="D11" s="5">
        <v>1.02</v>
      </c>
      <c r="E11" s="6">
        <f t="shared" si="2"/>
        <v>0.98039215686274506</v>
      </c>
      <c r="F11" s="7">
        <f t="shared" si="3"/>
        <v>0.78039215686274499</v>
      </c>
      <c r="G11" s="27">
        <f t="shared" si="4"/>
        <v>1.2814070351758795</v>
      </c>
      <c r="H11" s="28">
        <v>0</v>
      </c>
      <c r="I11" s="28"/>
      <c r="J11" s="31">
        <f t="shared" si="0"/>
        <v>0</v>
      </c>
      <c r="K11" s="32">
        <f t="shared" si="1"/>
        <v>0</v>
      </c>
    </row>
    <row r="12" spans="2:11" ht="15" thickBot="1" x14ac:dyDescent="0.35">
      <c r="B12" s="4">
        <v>8</v>
      </c>
      <c r="C12" s="4" t="s">
        <v>22</v>
      </c>
      <c r="D12" s="13">
        <v>1.64</v>
      </c>
      <c r="E12" s="8">
        <f t="shared" si="2"/>
        <v>0.6097560975609756</v>
      </c>
      <c r="F12" s="12">
        <f t="shared" si="3"/>
        <v>0.40975609756097559</v>
      </c>
      <c r="G12" s="14">
        <f t="shared" si="4"/>
        <v>2.4404761904761907</v>
      </c>
      <c r="H12" s="11">
        <v>0</v>
      </c>
      <c r="I12" s="11"/>
      <c r="J12" s="33">
        <f t="shared" si="0"/>
        <v>0</v>
      </c>
      <c r="K12" s="34">
        <f t="shared" si="1"/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K5"/>
  <sheetViews>
    <sheetView zoomScale="165" workbookViewId="0">
      <selection activeCell="B5" sqref="B5:K5"/>
    </sheetView>
  </sheetViews>
  <sheetFormatPr defaultRowHeight="14.4" x14ac:dyDescent="0.3"/>
  <cols>
    <col min="3" max="3" width="14.33203125" bestFit="1" customWidth="1"/>
  </cols>
  <sheetData>
    <row r="2" spans="2:11" x14ac:dyDescent="0.3">
      <c r="B2" t="s">
        <v>10</v>
      </c>
    </row>
    <row r="3" spans="2:11" ht="15" thickBot="1" x14ac:dyDescent="0.35">
      <c r="B3" s="1"/>
      <c r="C3" s="1"/>
      <c r="I3" s="9" t="s">
        <v>9</v>
      </c>
      <c r="J3" s="10">
        <v>55.55</v>
      </c>
      <c r="K3" s="10"/>
    </row>
    <row r="4" spans="2:11" ht="15" thickBot="1" x14ac:dyDescent="0.35">
      <c r="B4" s="15" t="s">
        <v>0</v>
      </c>
      <c r="C4" s="15" t="s">
        <v>13</v>
      </c>
      <c r="D4" s="18" t="s">
        <v>2</v>
      </c>
      <c r="E4" s="15" t="s">
        <v>3</v>
      </c>
      <c r="F4" s="19" t="s">
        <v>4</v>
      </c>
      <c r="G4" s="20" t="s">
        <v>5</v>
      </c>
      <c r="H4" s="20" t="s">
        <v>1</v>
      </c>
      <c r="I4" s="21" t="s">
        <v>6</v>
      </c>
      <c r="J4" s="16" t="s">
        <v>8</v>
      </c>
      <c r="K4" s="16" t="s">
        <v>12</v>
      </c>
    </row>
    <row r="5" spans="2:11" x14ac:dyDescent="0.3">
      <c r="B5" s="2">
        <v>1</v>
      </c>
      <c r="C5" s="35" t="s">
        <v>23</v>
      </c>
      <c r="D5" s="36"/>
      <c r="E5" s="23" t="e">
        <f>1/D5</f>
        <v>#DIV/0!</v>
      </c>
      <c r="F5" s="24" t="e">
        <f>E5-0.2</f>
        <v>#DIV/0!</v>
      </c>
      <c r="G5" s="25" t="e">
        <f>1/F5</f>
        <v>#DIV/0!</v>
      </c>
      <c r="H5" s="35">
        <v>1</v>
      </c>
      <c r="I5" s="36" t="s">
        <v>7</v>
      </c>
      <c r="J5" s="17" t="e">
        <f>IF(H5=0,0,IF(I5="WON",(G5-1)*0.95,-1))</f>
        <v>#DIV/0!</v>
      </c>
      <c r="K5" s="30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6120F-3D79-45D2-9E7F-690D79FF71F4}">
  <dimension ref="B2:K5"/>
  <sheetViews>
    <sheetView zoomScale="165" workbookViewId="0">
      <selection activeCell="A6" sqref="A6:XFD12"/>
    </sheetView>
  </sheetViews>
  <sheetFormatPr defaultRowHeight="14.4" x14ac:dyDescent="0.3"/>
  <cols>
    <col min="3" max="3" width="13.6640625" bestFit="1" customWidth="1"/>
  </cols>
  <sheetData>
    <row r="2" spans="2:11" x14ac:dyDescent="0.3">
      <c r="B2" t="s">
        <v>10</v>
      </c>
    </row>
    <row r="3" spans="2:11" ht="15" thickBot="1" x14ac:dyDescent="0.35">
      <c r="B3" s="1"/>
      <c r="C3" s="1"/>
      <c r="I3" s="9" t="s">
        <v>9</v>
      </c>
      <c r="J3" s="10">
        <v>55.55</v>
      </c>
      <c r="K3" s="10"/>
    </row>
    <row r="4" spans="2:11" ht="15" thickBot="1" x14ac:dyDescent="0.35">
      <c r="B4" s="15" t="s">
        <v>0</v>
      </c>
      <c r="C4" s="15" t="s">
        <v>13</v>
      </c>
      <c r="D4" s="18" t="s">
        <v>2</v>
      </c>
      <c r="E4" s="15" t="s">
        <v>3</v>
      </c>
      <c r="F4" s="19" t="s">
        <v>4</v>
      </c>
      <c r="G4" s="20" t="s">
        <v>5</v>
      </c>
      <c r="H4" s="20" t="s">
        <v>1</v>
      </c>
      <c r="I4" s="21" t="s">
        <v>6</v>
      </c>
      <c r="J4" s="16" t="s">
        <v>8</v>
      </c>
      <c r="K4" s="16" t="s">
        <v>12</v>
      </c>
    </row>
    <row r="5" spans="2:11" x14ac:dyDescent="0.3">
      <c r="B5" s="2">
        <v>1</v>
      </c>
      <c r="C5" s="35" t="s">
        <v>23</v>
      </c>
      <c r="D5" s="36"/>
      <c r="E5" s="23" t="e">
        <f>1/D5</f>
        <v>#DIV/0!</v>
      </c>
      <c r="F5" s="24" t="e">
        <f>E5-0.2</f>
        <v>#DIV/0!</v>
      </c>
      <c r="G5" s="25" t="e">
        <f>1/F5</f>
        <v>#DIV/0!</v>
      </c>
      <c r="H5" s="35">
        <v>1</v>
      </c>
      <c r="I5" s="36" t="s">
        <v>7</v>
      </c>
      <c r="J5" s="17" t="e">
        <f>IF(H5=0,0,IF(I5="WON",(G5-1)*0.95,-1))</f>
        <v>#DIV/0!</v>
      </c>
      <c r="K5" s="30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DAF7-1BB4-48D6-89E7-0AED41AA649D}">
  <dimension ref="B2:K5"/>
  <sheetViews>
    <sheetView zoomScale="165" workbookViewId="0">
      <selection activeCell="A6" sqref="A6:XFD12"/>
    </sheetView>
  </sheetViews>
  <sheetFormatPr defaultRowHeight="14.4" x14ac:dyDescent="0.3"/>
  <sheetData>
    <row r="2" spans="2:11" x14ac:dyDescent="0.3">
      <c r="B2" t="s">
        <v>10</v>
      </c>
    </row>
    <row r="3" spans="2:11" ht="15" thickBot="1" x14ac:dyDescent="0.35">
      <c r="B3" s="1"/>
      <c r="C3" s="1"/>
      <c r="I3" s="9" t="s">
        <v>9</v>
      </c>
      <c r="J3" s="10">
        <v>55.55</v>
      </c>
      <c r="K3" s="10"/>
    </row>
    <row r="4" spans="2:11" ht="15" thickBot="1" x14ac:dyDescent="0.35">
      <c r="B4" s="15" t="s">
        <v>0</v>
      </c>
      <c r="C4" s="15" t="s">
        <v>13</v>
      </c>
      <c r="D4" s="18" t="s">
        <v>2</v>
      </c>
      <c r="E4" s="15" t="s">
        <v>3</v>
      </c>
      <c r="F4" s="19" t="s">
        <v>4</v>
      </c>
      <c r="G4" s="20" t="s">
        <v>5</v>
      </c>
      <c r="H4" s="20" t="s">
        <v>1</v>
      </c>
      <c r="I4" s="21" t="s">
        <v>6</v>
      </c>
      <c r="J4" s="16" t="s">
        <v>8</v>
      </c>
      <c r="K4" s="16" t="s">
        <v>12</v>
      </c>
    </row>
    <row r="5" spans="2:11" x14ac:dyDescent="0.3">
      <c r="B5" s="2">
        <v>1</v>
      </c>
      <c r="C5" s="35" t="s">
        <v>23</v>
      </c>
      <c r="D5" s="36"/>
      <c r="E5" s="23" t="e">
        <f>1/D5</f>
        <v>#DIV/0!</v>
      </c>
      <c r="F5" s="24" t="e">
        <f>E5-0.2</f>
        <v>#DIV/0!</v>
      </c>
      <c r="G5" s="25" t="e">
        <f>1/F5</f>
        <v>#DIV/0!</v>
      </c>
      <c r="H5" s="35">
        <v>1</v>
      </c>
      <c r="I5" s="36" t="s">
        <v>7</v>
      </c>
      <c r="J5" s="17" t="e">
        <f>IF(H5=0,0,IF(I5="WON",(G5-1)*0.95,-1))</f>
        <v>#DIV/0!</v>
      </c>
      <c r="K5" s="30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0578-228A-4ECA-BD97-9526260EC85E}">
  <dimension ref="B2:K5"/>
  <sheetViews>
    <sheetView zoomScale="165" workbookViewId="0">
      <selection activeCell="D16" sqref="D16"/>
    </sheetView>
  </sheetViews>
  <sheetFormatPr defaultRowHeight="14.4" x14ac:dyDescent="0.3"/>
  <sheetData>
    <row r="2" spans="2:11" x14ac:dyDescent="0.3">
      <c r="B2" t="s">
        <v>10</v>
      </c>
    </row>
    <row r="3" spans="2:11" ht="15" thickBot="1" x14ac:dyDescent="0.35">
      <c r="B3" s="1"/>
      <c r="C3" s="1"/>
      <c r="I3" s="9" t="s">
        <v>9</v>
      </c>
      <c r="J3" s="10">
        <v>55.55</v>
      </c>
      <c r="K3" s="10"/>
    </row>
    <row r="4" spans="2:11" ht="15" thickBot="1" x14ac:dyDescent="0.35">
      <c r="B4" s="15" t="s">
        <v>0</v>
      </c>
      <c r="C4" s="15" t="s">
        <v>13</v>
      </c>
      <c r="D4" s="18" t="s">
        <v>2</v>
      </c>
      <c r="E4" s="15" t="s">
        <v>3</v>
      </c>
      <c r="F4" s="19" t="s">
        <v>4</v>
      </c>
      <c r="G4" s="20" t="s">
        <v>5</v>
      </c>
      <c r="H4" s="20" t="s">
        <v>1</v>
      </c>
      <c r="I4" s="21" t="s">
        <v>6</v>
      </c>
      <c r="J4" s="16" t="s">
        <v>8</v>
      </c>
      <c r="K4" s="16" t="s">
        <v>12</v>
      </c>
    </row>
    <row r="5" spans="2:11" x14ac:dyDescent="0.3">
      <c r="B5" s="2">
        <v>1</v>
      </c>
      <c r="C5" s="35" t="s">
        <v>23</v>
      </c>
      <c r="D5" s="36"/>
      <c r="E5" s="23" t="e">
        <f>1/D5</f>
        <v>#DIV/0!</v>
      </c>
      <c r="F5" s="24" t="e">
        <f>E5-0.2</f>
        <v>#DIV/0!</v>
      </c>
      <c r="G5" s="25" t="e">
        <f>1/F5</f>
        <v>#DIV/0!</v>
      </c>
      <c r="H5" s="35">
        <v>1</v>
      </c>
      <c r="I5" s="36" t="s">
        <v>7</v>
      </c>
      <c r="J5" s="17" t="e">
        <f>IF(H5=0,0,IF(I5="WON",(G5-1)*0.95,-1))</f>
        <v>#DIV/0!</v>
      </c>
      <c r="K5" s="30" t="e">
        <f>J5*J$3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M9"/>
  <sheetViews>
    <sheetView zoomScale="147" workbookViewId="0">
      <selection activeCell="N18" sqref="N18"/>
    </sheetView>
  </sheetViews>
  <sheetFormatPr defaultRowHeight="14.4" x14ac:dyDescent="0.3"/>
  <cols>
    <col min="2" max="13" width="10.6640625" customWidth="1"/>
  </cols>
  <sheetData>
    <row r="2" spans="2:13" x14ac:dyDescent="0.3">
      <c r="B2" t="s">
        <v>33</v>
      </c>
    </row>
    <row r="3" spans="2:13" ht="15" thickBot="1" x14ac:dyDescent="0.35">
      <c r="B3" s="1"/>
      <c r="C3" s="1"/>
      <c r="D3" s="1"/>
      <c r="J3" s="37" t="s">
        <v>30</v>
      </c>
      <c r="K3" s="9"/>
      <c r="L3" s="52"/>
      <c r="M3" s="52"/>
    </row>
    <row r="4" spans="2:13" ht="15" thickBot="1" x14ac:dyDescent="0.35">
      <c r="B4" s="15" t="s">
        <v>0</v>
      </c>
      <c r="C4" s="15" t="s">
        <v>25</v>
      </c>
      <c r="D4" s="38" t="s">
        <v>26</v>
      </c>
      <c r="E4" s="15" t="s">
        <v>27</v>
      </c>
      <c r="F4" s="39" t="s">
        <v>28</v>
      </c>
      <c r="G4" s="19" t="s">
        <v>31</v>
      </c>
      <c r="H4" s="15" t="s">
        <v>29</v>
      </c>
      <c r="I4" s="15" t="s">
        <v>32</v>
      </c>
      <c r="J4" s="16" t="s">
        <v>24</v>
      </c>
      <c r="K4" s="16" t="s">
        <v>12</v>
      </c>
    </row>
    <row r="5" spans="2:13" x14ac:dyDescent="0.3">
      <c r="B5" s="2">
        <v>1</v>
      </c>
      <c r="C5" s="40">
        <v>555</v>
      </c>
      <c r="D5" s="40">
        <v>570</v>
      </c>
      <c r="E5" s="40">
        <v>630</v>
      </c>
      <c r="F5" s="40">
        <v>645</v>
      </c>
      <c r="G5" s="43">
        <v>3</v>
      </c>
      <c r="H5" s="44">
        <v>600</v>
      </c>
      <c r="I5" s="43">
        <f>IF(AND(H5&lt;=E5,H5&gt;=D5),0,IF(H5&lt;D5,MAX(H5-D5,C5-D5),MAX(E5-H5,E5-F5)))</f>
        <v>0</v>
      </c>
      <c r="J5" s="53">
        <v>15</v>
      </c>
      <c r="K5" s="49">
        <f>(G5+I5)*100-J5</f>
        <v>285</v>
      </c>
    </row>
    <row r="6" spans="2:13" x14ac:dyDescent="0.3">
      <c r="B6" s="3">
        <v>2</v>
      </c>
      <c r="C6" s="41">
        <v>555</v>
      </c>
      <c r="D6" s="41">
        <v>570</v>
      </c>
      <c r="E6" s="41">
        <v>630</v>
      </c>
      <c r="F6" s="41">
        <v>645</v>
      </c>
      <c r="G6" s="45">
        <v>4</v>
      </c>
      <c r="H6" s="46">
        <v>633.23</v>
      </c>
      <c r="I6" s="45">
        <f t="shared" ref="I6:I9" si="0">IF(AND(H6&lt;=E6,H6&gt;=D6),0,IF(H6&lt;D6,MAX(H6-D6,C6-D6),MAX(E6-H6,E6-F6)))</f>
        <v>-3.2300000000000182</v>
      </c>
      <c r="J6" s="54">
        <v>15</v>
      </c>
      <c r="K6" s="50">
        <f t="shared" ref="K6:K9" si="1">(G6+I6)*100-J6</f>
        <v>61.999999999998181</v>
      </c>
    </row>
    <row r="7" spans="2:13" x14ac:dyDescent="0.3">
      <c r="B7" s="3">
        <v>3</v>
      </c>
      <c r="C7" s="41">
        <v>555</v>
      </c>
      <c r="D7" s="41">
        <v>570</v>
      </c>
      <c r="E7" s="41">
        <v>630</v>
      </c>
      <c r="F7" s="41">
        <v>645</v>
      </c>
      <c r="G7" s="45">
        <v>5</v>
      </c>
      <c r="H7" s="46">
        <v>720</v>
      </c>
      <c r="I7" s="45">
        <f t="shared" si="0"/>
        <v>-15</v>
      </c>
      <c r="J7" s="54">
        <v>15</v>
      </c>
      <c r="K7" s="50">
        <f t="shared" si="1"/>
        <v>-1015</v>
      </c>
    </row>
    <row r="8" spans="2:13" x14ac:dyDescent="0.3">
      <c r="B8" s="3">
        <v>4</v>
      </c>
      <c r="C8" s="41">
        <v>555</v>
      </c>
      <c r="D8" s="41">
        <v>570</v>
      </c>
      <c r="E8" s="41">
        <v>630</v>
      </c>
      <c r="F8" s="41">
        <v>645</v>
      </c>
      <c r="G8" s="45">
        <v>6</v>
      </c>
      <c r="H8" s="46">
        <v>500</v>
      </c>
      <c r="I8" s="45">
        <f t="shared" si="0"/>
        <v>-15</v>
      </c>
      <c r="J8" s="54">
        <v>15</v>
      </c>
      <c r="K8" s="50">
        <f t="shared" si="1"/>
        <v>-915</v>
      </c>
    </row>
    <row r="9" spans="2:13" ht="15" thickBot="1" x14ac:dyDescent="0.35">
      <c r="B9" s="4">
        <v>5</v>
      </c>
      <c r="C9" s="42">
        <v>555</v>
      </c>
      <c r="D9" s="42">
        <v>570</v>
      </c>
      <c r="E9" s="42">
        <v>630</v>
      </c>
      <c r="F9" s="42">
        <v>645</v>
      </c>
      <c r="G9" s="47">
        <v>7</v>
      </c>
      <c r="H9" s="48">
        <v>568.6</v>
      </c>
      <c r="I9" s="47">
        <f t="shared" si="0"/>
        <v>-1.3999999999999773</v>
      </c>
      <c r="J9" s="55">
        <v>15</v>
      </c>
      <c r="K9" s="51">
        <f t="shared" si="1"/>
        <v>545.00000000000227</v>
      </c>
    </row>
  </sheetData>
  <conditionalFormatting sqref="K5:K200">
    <cfRule type="cellIs" dxfId="1" priority="2" operator="lessThan">
      <formula>0</formula>
    </cfRule>
  </conditionalFormatting>
  <conditionalFormatting sqref="K5:K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AFL</vt:lpstr>
      <vt:lpstr>Tennis</vt:lpstr>
      <vt:lpstr>Cricket</vt:lpstr>
      <vt:lpstr>Basketball</vt:lpstr>
      <vt:lpstr>NFL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2026-04-04T05:56:53Z</dcterms:modified>
</cp:coreProperties>
</file>