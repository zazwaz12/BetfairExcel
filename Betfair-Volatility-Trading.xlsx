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87F837BF-F31C-40D5-898D-F7905AFBA1F7}" xr6:coauthVersionLast="47" xr6:coauthVersionMax="47" xr10:uidLastSave="{00000000-0000-0000-0000-000000000000}"/>
  <bookViews>
    <workbookView xWindow="-108" yWindow="-108" windowWidth="24792" windowHeight="14856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6" i="1" l="1"/>
  <c r="F66" i="1" s="1"/>
  <c r="G66" i="1" s="1"/>
  <c r="J66" i="1"/>
  <c r="K66" i="1" s="1"/>
  <c r="E67" i="1"/>
  <c r="F67" i="1" s="1"/>
  <c r="G67" i="1" s="1"/>
  <c r="J67" i="1"/>
  <c r="K67" i="1" s="1"/>
  <c r="E68" i="1"/>
  <c r="F68" i="1" s="1"/>
  <c r="G68" i="1" s="1"/>
  <c r="J68" i="1"/>
  <c r="K68" i="1" s="1"/>
  <c r="E69" i="1"/>
  <c r="F69" i="1" s="1"/>
  <c r="G69" i="1" s="1"/>
  <c r="J69" i="1"/>
  <c r="K69" i="1" s="1"/>
  <c r="E70" i="1"/>
  <c r="F70" i="1" s="1"/>
  <c r="G70" i="1" s="1"/>
  <c r="J70" i="1"/>
  <c r="K70" i="1" s="1"/>
  <c r="E71" i="1"/>
  <c r="F71" i="1" s="1"/>
  <c r="G71" i="1" s="1"/>
  <c r="J71" i="1"/>
  <c r="K71" i="1" s="1"/>
  <c r="E72" i="1"/>
  <c r="F72" i="1" s="1"/>
  <c r="G72" i="1" s="1"/>
  <c r="J72" i="1"/>
  <c r="K72" i="1" s="1"/>
  <c r="E73" i="1"/>
  <c r="F73" i="1" s="1"/>
  <c r="G73" i="1" s="1"/>
  <c r="J73" i="1"/>
  <c r="K73" i="1" s="1"/>
  <c r="E74" i="1"/>
  <c r="F74" i="1" s="1"/>
  <c r="G74" i="1" s="1"/>
  <c r="J74" i="1"/>
  <c r="K74" i="1" s="1"/>
  <c r="J37" i="2"/>
  <c r="K37" i="2" s="1"/>
  <c r="E37" i="2"/>
  <c r="F37" i="2"/>
  <c r="J36" i="2"/>
  <c r="K36" i="2" s="1"/>
  <c r="G36" i="2"/>
  <c r="E36" i="2"/>
  <c r="F36" i="2"/>
  <c r="J35" i="2"/>
  <c r="K35" i="2" s="1"/>
  <c r="G35" i="2"/>
  <c r="E35" i="2"/>
  <c r="F35" i="2"/>
  <c r="J34" i="2"/>
  <c r="K34" i="2" s="1"/>
  <c r="E34" i="2"/>
  <c r="F34" i="2"/>
  <c r="J33" i="2"/>
  <c r="K33" i="2" s="1"/>
  <c r="E33" i="2"/>
  <c r="F33" i="2" s="1"/>
  <c r="J32" i="2"/>
  <c r="K32" i="2"/>
  <c r="G32" i="2"/>
  <c r="E32" i="2"/>
  <c r="F32" i="2" s="1"/>
  <c r="J31" i="2"/>
  <c r="K31" i="2" s="1"/>
  <c r="E31" i="2"/>
  <c r="F31" i="2"/>
  <c r="E30" i="2"/>
  <c r="F30" i="2" s="1"/>
  <c r="J30" i="2"/>
  <c r="K30" i="2" s="1"/>
  <c r="E29" i="2"/>
  <c r="F29" i="2"/>
  <c r="G29" i="2"/>
  <c r="J29" i="2"/>
  <c r="K29" i="2" s="1"/>
  <c r="J14" i="2"/>
  <c r="K14" i="2" s="1"/>
  <c r="E21" i="2"/>
  <c r="F21" i="2"/>
  <c r="G21" i="2"/>
  <c r="J21" i="2"/>
  <c r="K21" i="2" s="1"/>
  <c r="E22" i="2"/>
  <c r="F22" i="2"/>
  <c r="J22" i="2"/>
  <c r="K22" i="2" s="1"/>
  <c r="E23" i="2"/>
  <c r="F23" i="2"/>
  <c r="G23" i="2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/>
  <c r="G26" i="2" s="1"/>
  <c r="J26" i="2"/>
  <c r="K26" i="2" s="1"/>
  <c r="E27" i="2"/>
  <c r="F27" i="2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G19" i="2"/>
  <c r="E19" i="2"/>
  <c r="F19" i="2"/>
  <c r="J16" i="2"/>
  <c r="K16" i="2" s="1"/>
  <c r="J18" i="2"/>
  <c r="K18" i="2" s="1"/>
  <c r="J17" i="2"/>
  <c r="K17" i="2" s="1"/>
  <c r="E18" i="2"/>
  <c r="F18" i="2" s="1"/>
  <c r="E17" i="2"/>
  <c r="F17" i="2" s="1"/>
  <c r="G16" i="2"/>
  <c r="E16" i="2"/>
  <c r="F16" i="2"/>
  <c r="J11" i="2"/>
  <c r="K11" i="2" s="1"/>
  <c r="J12" i="2"/>
  <c r="K12" i="2" s="1"/>
  <c r="J13" i="2"/>
  <c r="K13" i="2" s="1"/>
  <c r="J15" i="2"/>
  <c r="K15" i="2" s="1"/>
  <c r="E15" i="2"/>
  <c r="F15" i="2"/>
  <c r="E14" i="2"/>
  <c r="F14" i="2"/>
  <c r="E13" i="2"/>
  <c r="F13" i="2"/>
  <c r="G13" i="2"/>
  <c r="E12" i="2"/>
  <c r="F12" i="2"/>
  <c r="G12" i="2"/>
  <c r="E11" i="2"/>
  <c r="F11" i="2"/>
  <c r="G11" i="2" s="1"/>
  <c r="J57" i="1"/>
  <c r="K57" i="1" s="1"/>
  <c r="J58" i="1"/>
  <c r="K58" i="1" s="1"/>
  <c r="J59" i="1"/>
  <c r="K59" i="1" s="1"/>
  <c r="J61" i="1"/>
  <c r="K61" i="1" s="1"/>
  <c r="J62" i="1"/>
  <c r="K62" i="1" s="1"/>
  <c r="J63" i="1"/>
  <c r="K63" i="1" s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J60" i="1" s="1"/>
  <c r="K60" i="1" s="1"/>
  <c r="E61" i="1"/>
  <c r="F61" i="1"/>
  <c r="G61" i="1"/>
  <c r="E62" i="1"/>
  <c r="F62" i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 s="1"/>
  <c r="J50" i="1"/>
  <c r="K50" i="1" s="1"/>
  <c r="J52" i="1"/>
  <c r="K52" i="1" s="1"/>
  <c r="J53" i="1"/>
  <c r="K53" i="1"/>
  <c r="J54" i="1"/>
  <c r="K54" i="1" s="1"/>
  <c r="J55" i="1"/>
  <c r="K55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<sst xmlns="http://schemas.openxmlformats.org/spreadsheetml/2006/main" count="234" uniqueCount="76">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</sst>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9" fontId="0" fillId="2" borderId="0" xfId="0" applyNumberFormat="1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2" fontId="3" fillId="6" borderId="0" xfId="0" applyNumberFormat="1" applyFont="1" applyFill="1" applyBorder="1" applyAlignment="1">
      <alignment horizontal="center"/>
    </xf>
    <xf numFmtId="2" fontId="3" fillId="7" borderId="0" xfId="0" applyNumberFormat="1" applyFont="1" applyFill="1" applyBorder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tabSelected="1" zoomScale="124" workbookViewId="0">
      <pane ySplit="4" topLeftCell="A57" activePane="bottomLeft" state="frozen"/>
      <selection pane="bottomLeft" activeCell="I75" sqref="I75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88">
        <v>1.17</v>
      </c>
      <c r="E56" s="41">
        <f t="shared" si="17"/>
        <v>0.85470085470085477</v>
      </c>
      <c r="F56" s="87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91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86">
        <v>1.18</v>
      </c>
      <c r="E58" s="41">
        <f t="shared" si="22"/>
        <v>0.84745762711864414</v>
      </c>
      <c r="F58" s="6">
        <f t="shared" si="23"/>
        <v>0.64745762711864407</v>
      </c>
      <c r="G58" s="90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86">
        <v>1.25</v>
      </c>
      <c r="E59" s="41">
        <f t="shared" si="22"/>
        <v>0.8</v>
      </c>
      <c r="F59" s="6">
        <f t="shared" si="23"/>
        <v>0.60000000000000009</v>
      </c>
      <c r="G59" s="90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86">
        <v>1.53</v>
      </c>
      <c r="E60" s="41">
        <f t="shared" si="22"/>
        <v>0.65359477124183007</v>
      </c>
      <c r="F60" s="6">
        <f t="shared" si="23"/>
        <v>0.45359477124183006</v>
      </c>
      <c r="G60" s="90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86">
        <v>1.49</v>
      </c>
      <c r="E61" s="41">
        <f t="shared" si="22"/>
        <v>0.67114093959731547</v>
      </c>
      <c r="F61" s="6">
        <f t="shared" si="23"/>
        <v>0.47114093959731546</v>
      </c>
      <c r="G61" s="90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86">
        <v>1.74</v>
      </c>
      <c r="E62" s="41">
        <f t="shared" si="22"/>
        <v>0.57471264367816088</v>
      </c>
      <c r="F62" s="6">
        <f t="shared" si="23"/>
        <v>0.37471264367816087</v>
      </c>
      <c r="G62" s="90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86">
        <v>1.21</v>
      </c>
      <c r="E63" s="41">
        <f t="shared" si="22"/>
        <v>0.82644628099173556</v>
      </c>
      <c r="F63" s="6">
        <f t="shared" si="23"/>
        <v>0.62644628099173549</v>
      </c>
      <c r="G63" s="90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86">
        <v>1.1200000000000001</v>
      </c>
      <c r="E64" s="41">
        <f t="shared" si="22"/>
        <v>0.89285714285714279</v>
      </c>
      <c r="F64" s="6">
        <f t="shared" si="23"/>
        <v>0.69285714285714284</v>
      </c>
      <c r="G64" s="90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86">
        <v>1.28</v>
      </c>
      <c r="E65" s="41">
        <f t="shared" si="22"/>
        <v>0.78125</v>
      </c>
      <c r="F65" s="6">
        <f t="shared" si="23"/>
        <v>0.58125000000000004</v>
      </c>
      <c r="G65" s="90">
        <f t="shared" si="24"/>
        <v>1.7204301075268815</v>
      </c>
      <c r="H65" s="88">
        <v>1</v>
      </c>
      <c r="I65" s="72" t="s">
        <v>10</v>
      </c>
      <c r="J65" s="89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93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91">
        <f t="shared" ref="G66:G74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92" t="s">
        <v>75</v>
      </c>
      <c r="D67" s="86">
        <v>1.55</v>
      </c>
      <c r="E67" s="41">
        <f t="shared" si="27"/>
        <v>0.64516129032258063</v>
      </c>
      <c r="F67" s="87">
        <f t="shared" si="28"/>
        <v>0.44516129032258062</v>
      </c>
      <c r="G67" s="90">
        <f t="shared" si="29"/>
        <v>2.2463768115942031</v>
      </c>
      <c r="H67" s="88">
        <v>0</v>
      </c>
      <c r="I67" s="88"/>
      <c r="J67" s="89">
        <f t="shared" si="30"/>
        <v>0</v>
      </c>
      <c r="K67" s="27">
        <f t="shared" si="31"/>
        <v>0</v>
      </c>
    </row>
    <row r="68" spans="2:11" x14ac:dyDescent="0.3">
      <c r="B68" s="64">
        <v>64</v>
      </c>
      <c r="C68" s="92" t="s">
        <v>15</v>
      </c>
      <c r="D68" s="86">
        <v>1.34</v>
      </c>
      <c r="E68" s="41">
        <f t="shared" si="27"/>
        <v>0.74626865671641784</v>
      </c>
      <c r="F68" s="87">
        <f t="shared" si="28"/>
        <v>0.54626865671641789</v>
      </c>
      <c r="G68" s="90">
        <f t="shared" si="29"/>
        <v>1.8306010928961749</v>
      </c>
      <c r="H68" s="88">
        <v>0</v>
      </c>
      <c r="I68" s="88"/>
      <c r="J68" s="89">
        <f t="shared" si="30"/>
        <v>0</v>
      </c>
      <c r="K68" s="27">
        <f t="shared" si="31"/>
        <v>0</v>
      </c>
    </row>
    <row r="69" spans="2:11" x14ac:dyDescent="0.3">
      <c r="B69" s="64">
        <v>65</v>
      </c>
      <c r="C69" s="92" t="s">
        <v>19</v>
      </c>
      <c r="D69" s="86">
        <v>1.65</v>
      </c>
      <c r="E69" s="41">
        <f t="shared" si="27"/>
        <v>0.60606060606060608</v>
      </c>
      <c r="F69" s="87">
        <f t="shared" si="28"/>
        <v>0.40606060606060607</v>
      </c>
      <c r="G69" s="90">
        <f t="shared" si="29"/>
        <v>2.4626865671641789</v>
      </c>
      <c r="H69" s="88">
        <v>0</v>
      </c>
      <c r="I69" s="88"/>
      <c r="J69" s="89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92" t="s">
        <v>34</v>
      </c>
      <c r="D70" s="86">
        <v>1.58</v>
      </c>
      <c r="E70" s="41">
        <f t="shared" si="27"/>
        <v>0.63291139240506322</v>
      </c>
      <c r="F70" s="87">
        <f t="shared" si="28"/>
        <v>0.43291139240506321</v>
      </c>
      <c r="G70" s="90">
        <f t="shared" si="29"/>
        <v>2.3099415204678366</v>
      </c>
      <c r="H70" s="88">
        <v>0</v>
      </c>
      <c r="I70" s="88"/>
      <c r="J70" s="89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92" t="s">
        <v>44</v>
      </c>
      <c r="D71" s="86">
        <v>1.0900000000000001</v>
      </c>
      <c r="E71" s="41">
        <f t="shared" si="27"/>
        <v>0.9174311926605504</v>
      </c>
      <c r="F71" s="87">
        <f t="shared" si="28"/>
        <v>0.71743119266055033</v>
      </c>
      <c r="G71" s="90">
        <f t="shared" si="29"/>
        <v>1.3938618925831205</v>
      </c>
      <c r="H71" s="88">
        <v>0</v>
      </c>
      <c r="I71" s="88"/>
      <c r="J71" s="89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92" t="s">
        <v>14</v>
      </c>
      <c r="D72" s="86">
        <v>1.58</v>
      </c>
      <c r="E72" s="41">
        <f t="shared" si="27"/>
        <v>0.63291139240506322</v>
      </c>
      <c r="F72" s="87">
        <f t="shared" si="28"/>
        <v>0.43291139240506321</v>
      </c>
      <c r="G72" s="90">
        <f t="shared" si="29"/>
        <v>2.3099415204678366</v>
      </c>
      <c r="H72" s="88">
        <v>0</v>
      </c>
      <c r="I72" s="88"/>
      <c r="J72" s="89">
        <f t="shared" si="30"/>
        <v>0</v>
      </c>
      <c r="K72" s="27">
        <f t="shared" si="31"/>
        <v>0</v>
      </c>
    </row>
    <row r="73" spans="2:11" x14ac:dyDescent="0.3">
      <c r="B73" s="64">
        <v>69</v>
      </c>
      <c r="C73" s="92" t="s">
        <v>17</v>
      </c>
      <c r="D73" s="86">
        <v>1.71</v>
      </c>
      <c r="E73" s="41">
        <f t="shared" si="27"/>
        <v>0.58479532163742687</v>
      </c>
      <c r="F73" s="87">
        <f t="shared" si="28"/>
        <v>0.38479532163742686</v>
      </c>
      <c r="G73" s="90">
        <f t="shared" si="29"/>
        <v>2.5987841945288759</v>
      </c>
      <c r="H73" s="88">
        <v>0</v>
      </c>
      <c r="I73" s="88"/>
      <c r="J73" s="89">
        <f t="shared" si="30"/>
        <v>0</v>
      </c>
      <c r="K73" s="27">
        <f t="shared" si="31"/>
        <v>0</v>
      </c>
    </row>
    <row r="74" spans="2:11" ht="15" thickBot="1" x14ac:dyDescent="0.35">
      <c r="B74" s="65">
        <v>70</v>
      </c>
      <c r="C74" s="94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5">
        <f t="shared" si="29"/>
        <v>3.0128205128205132</v>
      </c>
      <c r="H74" s="9">
        <v>0</v>
      </c>
      <c r="I74" s="9"/>
      <c r="J74" s="78">
        <f t="shared" si="30"/>
        <v>0</v>
      </c>
      <c r="K74" s="29">
        <f t="shared" si="3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37"/>
  <sheetViews>
    <sheetView topLeftCell="A17" zoomScale="147" workbookViewId="0">
      <selection activeCell="I35" sqref="I35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37" si="15">1/D21</f>
        <v>0.65789473684210531</v>
      </c>
      <c r="F21" s="6">
        <f t="shared" ref="F21:F37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/>
      <c r="I32" s="1"/>
      <c r="J32" s="26">
        <f t="shared" ref="J32" si="23">IF(H32=0,0,IF(I32="WON",(G32*0.94-1),-1))</f>
        <v>0</v>
      </c>
      <c r="K32" s="27">
        <f t="shared" ref="K32" si="24">J32*J$3</f>
        <v>0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/>
      <c r="I35" s="1"/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2026-05-21T12:22:09Z</dcterms:modified>
</cp:coreProperties>
</file>