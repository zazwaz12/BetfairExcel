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F8AB6A4B-4C08-4D0D-AFEE-AA8AC5B96FEB}" xr6:coauthVersionLast="47" xr6:coauthVersionMax="47" xr10:uidLastSave="{00000000-0000-0000-0000-000000000000}"/>
  <bookViews>
    <workbookView xWindow="-108" yWindow="-108" windowWidth="24792" windowHeight="14856" xr2:uid="{C475443F-0BD3-43A3-A939-51219F6DA813}"/>
  </bookViews>
  <sheets>
    <sheet name="AFL" sheetId="1" r:id="rId1"/>
    <sheet name="Tennis" sheetId="2" r:id="rId2"/>
    <sheet name="Shares" sheetId="1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4" i="2" l="1"/>
  <c r="K44" i="2" s="1"/>
  <c r="E44" i="2"/>
  <c r="F44" i="2"/>
  <c r="G44" i="2" s="1"/>
  <c r="J43" i="2"/>
  <c r="K43" i="2" s="1"/>
  <c r="J42" i="2"/>
  <c r="K42" i="2" s="1"/>
  <c r="E43" i="2"/>
  <c r="F43" i="2"/>
  <c r="E42" i="2"/>
  <c r="F42" i="2"/>
  <c r="G42" i="2" s="1"/>
  <c r="J40" i="2"/>
  <c r="K40" i="2" s="1"/>
  <c r="J41" i="2"/>
  <c r="K41" i="2" s="1"/>
  <c r="E41" i="2"/>
  <c r="F41" i="2"/>
  <c r="G41" i="2"/>
  <c r="E40" i="2"/>
  <c r="F40" i="2"/>
  <c r="J38" i="2"/>
  <c r="K38" i="2" s="1"/>
  <c r="J39" i="2"/>
  <c r="K39" i="2"/>
  <c r="E39" i="2"/>
  <c r="F39" i="2"/>
  <c r="G39" i="2" s="1"/>
  <c r="E38" i="2"/>
  <c r="F38" i="2"/>
  <c r="G38" i="2" s="1"/>
  <c r="E66" i="1"/>
  <c r="F66" i="1" s="1"/>
  <c r="G66" i="1" s="1"/>
  <c r="J66" i="1"/>
  <c r="K66" i="1" s="1"/>
  <c r="E67" i="1"/>
  <c r="F67" i="1" s="1"/>
  <c r="J67" i="1"/>
  <c r="K67" i="1" s="1"/>
  <c r="E68" i="1"/>
  <c r="F68" i="1" s="1"/>
  <c r="G68" i="1" s="1"/>
  <c r="J68" i="1"/>
  <c r="K68" i="1" s="1"/>
  <c r="E69" i="1"/>
  <c r="F69" i="1" s="1"/>
  <c r="G69" i="1" s="1"/>
  <c r="J69" i="1"/>
  <c r="K69" i="1" s="1"/>
  <c r="E70" i="1"/>
  <c r="F70" i="1" s="1"/>
  <c r="J70" i="1"/>
  <c r="K70" i="1" s="1"/>
  <c r="E71" i="1"/>
  <c r="F71" i="1" s="1"/>
  <c r="G71" i="1" s="1"/>
  <c r="J71" i="1"/>
  <c r="K71" i="1" s="1"/>
  <c r="E72" i="1"/>
  <c r="F72" i="1" s="1"/>
  <c r="J72" i="1"/>
  <c r="K72" i="1" s="1"/>
  <c r="E73" i="1"/>
  <c r="F73" i="1" s="1"/>
  <c r="G73" i="1" s="1"/>
  <c r="J73" i="1"/>
  <c r="K73" i="1" s="1"/>
  <c r="E74" i="1"/>
  <c r="F74" i="1" s="1"/>
  <c r="J74" i="1"/>
  <c r="K74" i="1" s="1"/>
  <c r="J37" i="2"/>
  <c r="K37" i="2" s="1"/>
  <c r="E37" i="2"/>
  <c r="F37" i="2"/>
  <c r="J36" i="2"/>
  <c r="K36" i="2" s="1"/>
  <c r="E36" i="2"/>
  <c r="F36" i="2"/>
  <c r="G36" i="2" s="1"/>
  <c r="J35" i="2"/>
  <c r="K35" i="2" s="1"/>
  <c r="E35" i="2"/>
  <c r="F35" i="2"/>
  <c r="G35" i="2" s="1"/>
  <c r="J34" i="2"/>
  <c r="K34" i="2" s="1"/>
  <c r="E34" i="2"/>
  <c r="F34" i="2"/>
  <c r="J33" i="2"/>
  <c r="K33" i="2" s="1"/>
  <c r="E33" i="2"/>
  <c r="F33" i="2" s="1"/>
  <c r="J32" i="2"/>
  <c r="K32" i="2" s="1"/>
  <c r="E32" i="2"/>
  <c r="F32" i="2" s="1"/>
  <c r="G32" i="2" s="1"/>
  <c r="J31" i="2"/>
  <c r="K31" i="2" s="1"/>
  <c r="E31" i="2"/>
  <c r="F31" i="2"/>
  <c r="E30" i="2"/>
  <c r="F30" i="2" s="1"/>
  <c r="J30" i="2"/>
  <c r="K30" i="2" s="1"/>
  <c r="E29" i="2"/>
  <c r="F29" i="2"/>
  <c r="G29" i="2"/>
  <c r="J29" i="2"/>
  <c r="K29" i="2" s="1"/>
  <c r="J14" i="2"/>
  <c r="K14" i="2" s="1"/>
  <c r="E21" i="2"/>
  <c r="F21" i="2"/>
  <c r="G21" i="2"/>
  <c r="J21" i="2"/>
  <c r="K21" i="2" s="1"/>
  <c r="E22" i="2"/>
  <c r="F22" i="2"/>
  <c r="J22" i="2"/>
  <c r="K22" i="2" s="1"/>
  <c r="E23" i="2"/>
  <c r="F23" i="2"/>
  <c r="G23" i="2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/>
  <c r="G26" i="2" s="1"/>
  <c r="J26" i="2"/>
  <c r="K26" i="2" s="1"/>
  <c r="E27" i="2"/>
  <c r="F27" i="2" s="1"/>
  <c r="G27" i="2" s="1"/>
  <c r="J27" i="2"/>
  <c r="K27" i="2" s="1"/>
  <c r="E28" i="2"/>
  <c r="F28" i="2"/>
  <c r="G28" i="2"/>
  <c r="J28" i="2"/>
  <c r="K28" i="2" s="1"/>
  <c r="J20" i="2"/>
  <c r="K20" i="2" s="1"/>
  <c r="E20" i="2"/>
  <c r="F20" i="2" s="1"/>
  <c r="J19" i="2"/>
  <c r="K19" i="2" s="1"/>
  <c r="E19" i="2"/>
  <c r="F19" i="2"/>
  <c r="G19" i="2" s="1"/>
  <c r="J18" i="2"/>
  <c r="K18" i="2" s="1"/>
  <c r="J17" i="2"/>
  <c r="K17" i="2" s="1"/>
  <c r="E18" i="2"/>
  <c r="F18" i="2" s="1"/>
  <c r="E17" i="2"/>
  <c r="F17" i="2" s="1"/>
  <c r="E16" i="2"/>
  <c r="F16" i="2"/>
  <c r="G16" i="2" s="1"/>
  <c r="J16" i="2" s="1"/>
  <c r="K16" i="2" s="1"/>
  <c r="J11" i="2"/>
  <c r="K11" i="2" s="1"/>
  <c r="J12" i="2"/>
  <c r="K12" i="2" s="1"/>
  <c r="J13" i="2"/>
  <c r="K13" i="2" s="1"/>
  <c r="J15" i="2"/>
  <c r="K15" i="2" s="1"/>
  <c r="E15" i="2"/>
  <c r="F15" i="2"/>
  <c r="E14" i="2"/>
  <c r="F14" i="2"/>
  <c r="E13" i="2"/>
  <c r="F13" i="2"/>
  <c r="G13" i="2"/>
  <c r="E12" i="2"/>
  <c r="F12" i="2" s="1"/>
  <c r="G12" i="2" s="1"/>
  <c r="E11" i="2"/>
  <c r="F11" i="2"/>
  <c r="G11" i="2" s="1"/>
  <c r="J57" i="1"/>
  <c r="K57" i="1" s="1"/>
  <c r="J58" i="1"/>
  <c r="K58" i="1" s="1"/>
  <c r="J59" i="1"/>
  <c r="K59" i="1" s="1"/>
  <c r="J61" i="1"/>
  <c r="K61" i="1" s="1"/>
  <c r="J62" i="1"/>
  <c r="K62" i="1" s="1"/>
  <c r="J63" i="1"/>
  <c r="K63" i="1" s="1"/>
  <c r="J64" i="1"/>
  <c r="K64" i="1"/>
  <c r="J65" i="1"/>
  <c r="K65" i="1" s="1"/>
  <c r="E57" i="1"/>
  <c r="F57" i="1" s="1"/>
  <c r="G57" i="1" s="1"/>
  <c r="E58" i="1"/>
  <c r="F58" i="1" s="1"/>
  <c r="G58" i="1" s="1"/>
  <c r="E59" i="1"/>
  <c r="F59" i="1" s="1"/>
  <c r="G59" i="1" s="1"/>
  <c r="E60" i="1"/>
  <c r="F60" i="1"/>
  <c r="G60" i="1" s="1"/>
  <c r="J60" i="1" s="1"/>
  <c r="K60" i="1" s="1"/>
  <c r="E61" i="1"/>
  <c r="F61" i="1"/>
  <c r="G61" i="1"/>
  <c r="E62" i="1"/>
  <c r="F62" i="1"/>
  <c r="E63" i="1"/>
  <c r="F63" i="1" s="1"/>
  <c r="G63" i="1" s="1"/>
  <c r="E64" i="1"/>
  <c r="F64" i="1" s="1"/>
  <c r="G64" i="1" s="1"/>
  <c r="E65" i="1"/>
  <c r="F65" i="1"/>
  <c r="G65" i="1" s="1"/>
  <c r="J48" i="1"/>
  <c r="K48" i="1" s="1"/>
  <c r="J49" i="1"/>
  <c r="K49" i="1" s="1"/>
  <c r="J50" i="1"/>
  <c r="K50" i="1" s="1"/>
  <c r="J52" i="1"/>
  <c r="K52" i="1" s="1"/>
  <c r="J53" i="1"/>
  <c r="K53" i="1"/>
  <c r="J54" i="1"/>
  <c r="K54" i="1" s="1"/>
  <c r="J55" i="1"/>
  <c r="K55" i="1" s="1"/>
  <c r="E48" i="1"/>
  <c r="F48" i="1" s="1"/>
  <c r="G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 s="1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<sst xmlns="http://schemas.openxmlformats.org/spreadsheetml/2006/main" count="252" uniqueCount="82">
  <si>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</si>
  <si>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</si>
  <si>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</si>
  <si>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</si>
  <si>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</si>
  <si>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</si>
  <si>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</si>
  <si>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</si>
  <si>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</si>
  <si>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</si>
  <si>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</si>
  <si>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</si>
  <si>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</si>
  <si>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</si>
  <si>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</si>
  <si>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</si>
  <si>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</si>
  <si>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</si>
  <si>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</si>
  <si>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</si>
  <si>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</si>
  <si>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</si>
  <si>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</si>
  <si>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</si>
  <si>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</si>
  <si>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</si>
  <si>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</si>
  <si>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</si>
  <si>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</si>
  <si>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</si>
  <si>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</si>
  <si>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</si>
  <si>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</si>
  <si>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</si>
  <si>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</si>
  <si>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</si>
  <si>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</si>
  <si>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</si>
  <si>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</si>
  <si>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</si>
  <si>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</si>
  <si>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</si>
  <si>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</si>
  <si>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</si>
  <si>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</si>
  <si>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</si>
  <si>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</si>
  <si>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</si>
  <si>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</si>
  <si>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</si>
  <si>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</si>
  <si>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</si>
  <si>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</si>
  <si>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</si>
  <si>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</si>
  <si>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</si>
  <si>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</si>
  <si>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</si>
  <si>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</si>
  <si>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</si>
  <si>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</si>
  <si>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</si>
  <si>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</si>
  <si>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</si>
  <si>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</si>
  <si>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</si>
  <si>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</si>
  <si>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</si>
  <si>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</si>
  <si>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</si>
  <si>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</si>
  <si>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</si>
  <si>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</si>
  <si>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</si>
  <si>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</si>
  <si>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</si>
  <si>
    <t>Paul</t>
  </si>
  <si>
    <t>Kalinina</t>
  </si>
  <si>
    <t>Navarro</t>
  </si>
  <si>
    <t>Korneeva</t>
  </si>
  <si>
    <t>Neumayer</t>
  </si>
  <si>
    <t>Mboko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</si>
</sst>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2" fontId="3" fillId="7" borderId="0" xfId="0" applyNumberFormat="1" applyFont="1" applyFill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74"/>
  <sheetViews>
    <sheetView tabSelected="1" zoomScale="124" workbookViewId="0">
      <pane ySplit="4" topLeftCell="A63" activePane="bottomLeft" state="frozen"/>
      <selection pane="bottomLeft" activeCell="L68" sqref="L68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51">
        <v>1.17</v>
      </c>
      <c r="E56" s="41">
        <f t="shared" si="17"/>
        <v>0.85470085470085477</v>
      </c>
      <c r="F56" s="54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87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1">
        <v>1.18</v>
      </c>
      <c r="E58" s="41">
        <f t="shared" si="22"/>
        <v>0.84745762711864414</v>
      </c>
      <c r="F58" s="6">
        <f t="shared" si="23"/>
        <v>0.64745762711864407</v>
      </c>
      <c r="G58" s="86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1">
        <v>1.25</v>
      </c>
      <c r="E59" s="41">
        <f t="shared" si="22"/>
        <v>0.8</v>
      </c>
      <c r="F59" s="6">
        <f t="shared" si="23"/>
        <v>0.60000000000000009</v>
      </c>
      <c r="G59" s="86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1">
        <v>1.53</v>
      </c>
      <c r="E60" s="41">
        <f t="shared" si="22"/>
        <v>0.65359477124183007</v>
      </c>
      <c r="F60" s="6">
        <f t="shared" si="23"/>
        <v>0.45359477124183006</v>
      </c>
      <c r="G60" s="86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1">
        <v>1.49</v>
      </c>
      <c r="E61" s="41">
        <f t="shared" si="22"/>
        <v>0.67114093959731547</v>
      </c>
      <c r="F61" s="6">
        <f t="shared" si="23"/>
        <v>0.47114093959731546</v>
      </c>
      <c r="G61" s="86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1">
        <v>1.74</v>
      </c>
      <c r="E62" s="41">
        <f t="shared" si="22"/>
        <v>0.57471264367816088</v>
      </c>
      <c r="F62" s="6">
        <f t="shared" si="23"/>
        <v>0.37471264367816087</v>
      </c>
      <c r="G62" s="86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1">
        <v>1.21</v>
      </c>
      <c r="E63" s="41">
        <f t="shared" si="22"/>
        <v>0.82644628099173556</v>
      </c>
      <c r="F63" s="6">
        <f t="shared" si="23"/>
        <v>0.62644628099173549</v>
      </c>
      <c r="G63" s="86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1">
        <v>1.1200000000000001</v>
      </c>
      <c r="E64" s="41">
        <f t="shared" si="22"/>
        <v>0.89285714285714279</v>
      </c>
      <c r="F64" s="6">
        <f t="shared" si="23"/>
        <v>0.69285714285714284</v>
      </c>
      <c r="G64" s="86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1">
        <v>1.28</v>
      </c>
      <c r="E65" s="41">
        <f t="shared" si="22"/>
        <v>0.78125</v>
      </c>
      <c r="F65" s="6">
        <f t="shared" si="23"/>
        <v>0.58125000000000004</v>
      </c>
      <c r="G65" s="86">
        <f t="shared" si="24"/>
        <v>1.7204301075268815</v>
      </c>
      <c r="H65" s="51">
        <v>1</v>
      </c>
      <c r="I65" s="72" t="s">
        <v>10</v>
      </c>
      <c r="J65" s="77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89" t="s">
        <v>21</v>
      </c>
      <c r="D66" s="75">
        <v>1.62</v>
      </c>
      <c r="E66" s="40">
        <f t="shared" ref="E66:E74" si="27">1/D66</f>
        <v>0.61728395061728392</v>
      </c>
      <c r="F66" s="58">
        <f t="shared" ref="F66:F74" si="28">E66-0.2</f>
        <v>0.41728395061728391</v>
      </c>
      <c r="G66" s="87">
        <f t="shared" ref="G66:G73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88" t="s">
        <v>75</v>
      </c>
      <c r="D67" s="1">
        <v>1.55</v>
      </c>
      <c r="E67" s="41">
        <f t="shared" si="27"/>
        <v>0.64516129032258063</v>
      </c>
      <c r="F67" s="54">
        <f t="shared" si="28"/>
        <v>0.44516129032258062</v>
      </c>
      <c r="G67" s="86">
        <v>2.2599999999999998</v>
      </c>
      <c r="H67" s="51">
        <v>1</v>
      </c>
      <c r="I67" s="51" t="s">
        <v>10</v>
      </c>
      <c r="J67" s="77">
        <f t="shared" si="30"/>
        <v>-1</v>
      </c>
      <c r="K67" s="27">
        <f t="shared" si="31"/>
        <v>-55.55</v>
      </c>
    </row>
    <row r="68" spans="2:11" x14ac:dyDescent="0.3">
      <c r="B68" s="64">
        <v>64</v>
      </c>
      <c r="C68" s="88" t="s">
        <v>15</v>
      </c>
      <c r="D68" s="1">
        <v>1.34</v>
      </c>
      <c r="E68" s="41">
        <f t="shared" si="27"/>
        <v>0.74626865671641784</v>
      </c>
      <c r="F68" s="54">
        <f t="shared" si="28"/>
        <v>0.54626865671641789</v>
      </c>
      <c r="G68" s="86">
        <f t="shared" si="29"/>
        <v>1.8306010928961749</v>
      </c>
      <c r="H68" s="51">
        <v>1</v>
      </c>
      <c r="I68" s="51" t="s">
        <v>7</v>
      </c>
      <c r="J68" s="77">
        <f t="shared" si="30"/>
        <v>0.78076502732240438</v>
      </c>
      <c r="K68" s="27">
        <f t="shared" si="31"/>
        <v>43.371497267759558</v>
      </c>
    </row>
    <row r="69" spans="2:11" x14ac:dyDescent="0.3">
      <c r="B69" s="64">
        <v>65</v>
      </c>
      <c r="C69" s="88" t="s">
        <v>19</v>
      </c>
      <c r="D69" s="1">
        <v>1.65</v>
      </c>
      <c r="E69" s="41">
        <f t="shared" si="27"/>
        <v>0.60606060606060608</v>
      </c>
      <c r="F69" s="54">
        <f t="shared" si="28"/>
        <v>0.40606060606060607</v>
      </c>
      <c r="G69" s="86">
        <f t="shared" si="29"/>
        <v>2.4626865671641789</v>
      </c>
      <c r="H69" s="51">
        <v>0</v>
      </c>
      <c r="I69" s="51"/>
      <c r="J69" s="77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88" t="s">
        <v>34</v>
      </c>
      <c r="D70" s="1">
        <v>1.58</v>
      </c>
      <c r="E70" s="41">
        <f t="shared" si="27"/>
        <v>0.63291139240506322</v>
      </c>
      <c r="F70" s="54">
        <f t="shared" si="28"/>
        <v>0.43291139240506321</v>
      </c>
      <c r="G70" s="86">
        <v>2.3199999999999998</v>
      </c>
      <c r="H70" s="51">
        <v>0</v>
      </c>
      <c r="I70" s="51"/>
      <c r="J70" s="77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88" t="s">
        <v>44</v>
      </c>
      <c r="D71" s="1">
        <v>1.0900000000000001</v>
      </c>
      <c r="E71" s="41">
        <f t="shared" si="27"/>
        <v>0.9174311926605504</v>
      </c>
      <c r="F71" s="54">
        <f t="shared" si="28"/>
        <v>0.71743119266055033</v>
      </c>
      <c r="G71" s="86">
        <f t="shared" si="29"/>
        <v>1.3938618925831205</v>
      </c>
      <c r="H71" s="51">
        <v>0</v>
      </c>
      <c r="I71" s="51"/>
      <c r="J71" s="77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88" t="s">
        <v>14</v>
      </c>
      <c r="D72" s="1">
        <v>1.58</v>
      </c>
      <c r="E72" s="41">
        <f t="shared" si="27"/>
        <v>0.63291139240506322</v>
      </c>
      <c r="F72" s="54">
        <f t="shared" si="28"/>
        <v>0.43291139240506321</v>
      </c>
      <c r="G72" s="86">
        <v>2.3199999999999998</v>
      </c>
      <c r="H72" s="51">
        <v>0</v>
      </c>
      <c r="I72" s="51"/>
      <c r="J72" s="77">
        <f t="shared" si="30"/>
        <v>0</v>
      </c>
      <c r="K72" s="27">
        <f t="shared" si="31"/>
        <v>0</v>
      </c>
    </row>
    <row r="73" spans="2:11" x14ac:dyDescent="0.3">
      <c r="B73" s="64">
        <v>69</v>
      </c>
      <c r="C73" s="88" t="s">
        <v>17</v>
      </c>
      <c r="D73" s="1">
        <v>1.71</v>
      </c>
      <c r="E73" s="41">
        <f t="shared" si="27"/>
        <v>0.58479532163742687</v>
      </c>
      <c r="F73" s="54">
        <f t="shared" si="28"/>
        <v>0.38479532163742686</v>
      </c>
      <c r="G73" s="86">
        <f t="shared" si="29"/>
        <v>2.5987841945288759</v>
      </c>
      <c r="H73" s="51">
        <v>0</v>
      </c>
      <c r="I73" s="51"/>
      <c r="J73" s="77">
        <f t="shared" si="30"/>
        <v>0</v>
      </c>
      <c r="K73" s="27">
        <f t="shared" si="31"/>
        <v>0</v>
      </c>
    </row>
    <row r="74" spans="2:11" ht="15" thickBot="1" x14ac:dyDescent="0.35">
      <c r="B74" s="65">
        <v>70</v>
      </c>
      <c r="C74" s="90" t="s">
        <v>33</v>
      </c>
      <c r="D74" s="76">
        <v>1.88</v>
      </c>
      <c r="E74" s="42">
        <f t="shared" si="27"/>
        <v>0.53191489361702127</v>
      </c>
      <c r="F74" s="59">
        <f t="shared" si="28"/>
        <v>0.33191489361702126</v>
      </c>
      <c r="G74" s="91">
        <v>3.05</v>
      </c>
      <c r="H74" s="9">
        <v>0</v>
      </c>
      <c r="I74" s="9"/>
      <c r="J74" s="78">
        <f t="shared" si="30"/>
        <v>0</v>
      </c>
      <c r="K74" s="29">
        <f t="shared" si="31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44"/>
  <sheetViews>
    <sheetView topLeftCell="A32" zoomScale="147" workbookViewId="0">
      <selection activeCell="I45" sqref="I45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44" si="15">1/D21</f>
        <v>0.65789473684210531</v>
      </c>
      <c r="F21" s="6">
        <f t="shared" ref="F21:F44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>
        <v>1</v>
      </c>
      <c r="I32" s="1" t="s">
        <v>10</v>
      </c>
      <c r="J32" s="26">
        <f t="shared" ref="J32" si="23">IF(H32=0,0,IF(I32="WON",(G32*0.94-1),-1))</f>
        <v>-1</v>
      </c>
      <c r="K32" s="27">
        <f t="shared" ref="K32" si="24">J32*J$3</f>
        <v>-55.55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>
        <v>0</v>
      </c>
      <c r="I35" s="1" t="s">
        <v>7</v>
      </c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  <row r="38" spans="2:11" x14ac:dyDescent="0.3">
      <c r="B38" s="3">
        <v>34</v>
      </c>
      <c r="C38" s="79" t="s">
        <v>76</v>
      </c>
      <c r="D38" s="7">
        <v>1.46</v>
      </c>
      <c r="E38" s="80">
        <f t="shared" si="15"/>
        <v>0.68493150684931503</v>
      </c>
      <c r="F38" s="6">
        <f t="shared" si="16"/>
        <v>0.48493150684931502</v>
      </c>
      <c r="G38" s="52">
        <f>1/F38</f>
        <v>2.0621468926553677</v>
      </c>
      <c r="H38" s="1">
        <v>0</v>
      </c>
      <c r="I38" s="1" t="s">
        <v>7</v>
      </c>
      <c r="J38" s="26">
        <f t="shared" ref="J38:J39" si="35">IF(H38=0,0,IF(I38="WON",(G38*0.94-1),-1))</f>
        <v>0</v>
      </c>
      <c r="K38" s="27">
        <f t="shared" ref="K38:K39" si="36">J38*J$3</f>
        <v>0</v>
      </c>
    </row>
    <row r="39" spans="2:11" x14ac:dyDescent="0.3">
      <c r="B39" s="3">
        <v>35</v>
      </c>
      <c r="C39" s="79" t="s">
        <v>51</v>
      </c>
      <c r="D39" s="7">
        <v>1.37</v>
      </c>
      <c r="E39" s="80">
        <f t="shared" si="15"/>
        <v>0.72992700729927007</v>
      </c>
      <c r="F39" s="6">
        <f t="shared" si="16"/>
        <v>0.52992700729927011</v>
      </c>
      <c r="G39" s="52">
        <f>1/F39</f>
        <v>1.887052341597796</v>
      </c>
      <c r="H39" s="1">
        <v>0</v>
      </c>
      <c r="I39" s="1" t="s">
        <v>7</v>
      </c>
      <c r="J39" s="26">
        <f t="shared" si="35"/>
        <v>0</v>
      </c>
      <c r="K39" s="27">
        <f t="shared" si="36"/>
        <v>0</v>
      </c>
    </row>
    <row r="40" spans="2:11" x14ac:dyDescent="0.3">
      <c r="B40" s="3">
        <v>36</v>
      </c>
      <c r="C40" s="79" t="s">
        <v>77</v>
      </c>
      <c r="D40" s="7">
        <v>1.84</v>
      </c>
      <c r="E40" s="80">
        <f t="shared" si="15"/>
        <v>0.54347826086956519</v>
      </c>
      <c r="F40" s="6">
        <f t="shared" si="16"/>
        <v>0.34347826086956518</v>
      </c>
      <c r="G40" s="52">
        <v>2.92</v>
      </c>
      <c r="H40" s="1">
        <v>0</v>
      </c>
      <c r="I40" s="1" t="s">
        <v>7</v>
      </c>
      <c r="J40" s="26">
        <f t="shared" ref="J40:J44" si="37">IF(H40=0,0,IF(I40="WON",(G40*0.94-1),-1))</f>
        <v>0</v>
      </c>
      <c r="K40" s="27">
        <f t="shared" ref="K40:K44" si="38">J40*J$3</f>
        <v>0</v>
      </c>
    </row>
    <row r="41" spans="2:11" x14ac:dyDescent="0.3">
      <c r="B41" s="3">
        <v>37</v>
      </c>
      <c r="C41" s="79" t="s">
        <v>78</v>
      </c>
      <c r="D41" s="7">
        <v>1.36</v>
      </c>
      <c r="E41" s="80">
        <f t="shared" si="15"/>
        <v>0.73529411764705876</v>
      </c>
      <c r="F41" s="6">
        <f t="shared" si="16"/>
        <v>0.5352941176470587</v>
      </c>
      <c r="G41" s="52">
        <f>1/F41</f>
        <v>1.8681318681318686</v>
      </c>
      <c r="H41" s="1">
        <v>1</v>
      </c>
      <c r="I41" s="1" t="s">
        <v>7</v>
      </c>
      <c r="J41" s="26">
        <f t="shared" si="37"/>
        <v>0.75604395604395647</v>
      </c>
      <c r="K41" s="27">
        <f t="shared" si="38"/>
        <v>41.998241758241782</v>
      </c>
    </row>
    <row r="42" spans="2:11" x14ac:dyDescent="0.3">
      <c r="B42" s="3">
        <v>38</v>
      </c>
      <c r="C42" s="79" t="s">
        <v>79</v>
      </c>
      <c r="D42" s="7">
        <v>1.76</v>
      </c>
      <c r="E42" s="80">
        <f t="shared" si="15"/>
        <v>0.56818181818181823</v>
      </c>
      <c r="F42" s="6">
        <f t="shared" si="16"/>
        <v>0.36818181818181822</v>
      </c>
      <c r="G42" s="52">
        <f t="shared" ref="G42" si="39">1/F42</f>
        <v>2.716049382716049</v>
      </c>
      <c r="H42" s="1">
        <v>0</v>
      </c>
      <c r="I42" s="1" t="s">
        <v>7</v>
      </c>
      <c r="J42" s="26">
        <f t="shared" si="37"/>
        <v>0</v>
      </c>
      <c r="K42" s="27">
        <f t="shared" si="38"/>
        <v>0</v>
      </c>
    </row>
    <row r="43" spans="2:11" x14ac:dyDescent="0.3">
      <c r="B43" s="3">
        <v>39</v>
      </c>
      <c r="C43" s="79" t="s">
        <v>80</v>
      </c>
      <c r="D43" s="7">
        <v>1.91</v>
      </c>
      <c r="E43" s="80">
        <f t="shared" si="15"/>
        <v>0.52356020942408377</v>
      </c>
      <c r="F43" s="6">
        <f t="shared" si="16"/>
        <v>0.32356020942408376</v>
      </c>
      <c r="G43" s="52">
        <v>3.1</v>
      </c>
      <c r="H43" s="1">
        <v>1</v>
      </c>
      <c r="I43" s="1" t="s">
        <v>10</v>
      </c>
      <c r="J43" s="26">
        <f t="shared" si="37"/>
        <v>-1</v>
      </c>
      <c r="K43" s="27">
        <f t="shared" si="38"/>
        <v>-55.55</v>
      </c>
    </row>
    <row r="44" spans="2:11" x14ac:dyDescent="0.3">
      <c r="B44" s="3">
        <v>40</v>
      </c>
      <c r="C44" s="79" t="s">
        <v>81</v>
      </c>
      <c r="D44" s="7">
        <v>1.65</v>
      </c>
      <c r="E44" s="80">
        <f t="shared" si="15"/>
        <v>0.60606060606060608</v>
      </c>
      <c r="F44" s="6">
        <f t="shared" si="16"/>
        <v>0.40606060606060607</v>
      </c>
      <c r="G44" s="52">
        <f>1/F44</f>
        <v>2.4626865671641789</v>
      </c>
      <c r="H44" s="1">
        <v>0</v>
      </c>
      <c r="I44" s="1" t="s">
        <v>7</v>
      </c>
      <c r="J44" s="26">
        <f t="shared" si="37"/>
        <v>0</v>
      </c>
      <c r="K44" s="27">
        <f t="shared" si="38"/>
        <v>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L12" sqref="L12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2026-05-22T12:56:12Z</dcterms:modified>
</cp:coreProperties>
</file>