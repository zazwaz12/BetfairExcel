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13_ncr:1_{6F8306D4-608B-0649-A6CB-F04E56C7DF40}" xr6:coauthVersionLast="47" xr6:coauthVersionMax="47" xr10:uidLastSave="{00000000-0000-0000-0000-000000000000}"/>
  <bookViews>
    <workbookView xWindow="0" yWindow="500" windowWidth="38400" windowHeight="1940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1" l="1"/>
  <c r="K48" i="1" s="1"/>
  <c r="J49" i="1"/>
  <c r="K49" i="1"/>
  <c r="J50" i="1"/>
  <c r="K50" i="1" s="1"/>
  <c r="J51" i="1"/>
  <c r="K51" i="1"/>
  <c r="J52" i="1"/>
  <c r="K52" i="1" s="1"/>
  <c r="J53" i="1"/>
  <c r="K53" i="1"/>
  <c r="J54" i="1"/>
  <c r="K54" i="1"/>
  <c r="J55" i="1"/>
  <c r="K55" i="1" s="1"/>
  <c r="J56" i="1"/>
  <c r="K56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K27" i="1"/>
  <c r="J28" i="1"/>
  <c r="K28" i="1" s="1"/>
  <c r="J29" i="1"/>
  <c r="K29" i="1" s="1"/>
  <c r="J30" i="1"/>
  <c r="K30" i="1" s="1"/>
  <c r="E30" i="1"/>
  <c r="F30" i="1"/>
  <c r="E29" i="1"/>
  <c r="F29" i="1"/>
  <c r="E28" i="1"/>
  <c r="F28" i="1" s="1"/>
  <c r="G28" i="1" s="1"/>
  <c r="E27" i="1"/>
  <c r="F27" i="1" s="1"/>
  <c r="G27" i="1" s="1"/>
  <c r="J27" i="1" s="1"/>
  <c r="E26" i="1"/>
  <c r="F26" i="1" s="1"/>
  <c r="E25" i="1"/>
  <c r="F25" i="1" s="1"/>
  <c r="G25" i="1" s="1"/>
  <c r="J25" i="1" s="1"/>
  <c r="K25" i="1" s="1"/>
  <c r="E24" i="1"/>
  <c r="F24" i="1"/>
  <c r="G24" i="1" s="1"/>
  <c r="E23" i="1"/>
  <c r="F23" i="1" s="1"/>
  <c r="E22" i="1"/>
  <c r="F22" i="1" s="1"/>
  <c r="G22" i="1" s="1"/>
  <c r="J22" i="1" s="1"/>
  <c r="K22" i="1" s="1"/>
  <c r="G12" i="2"/>
  <c r="E12" i="2"/>
  <c r="F12" i="2" s="1"/>
  <c r="J12" i="2"/>
  <c r="K12" i="2" s="1"/>
  <c r="E11" i="2"/>
  <c r="F11" i="2"/>
  <c r="J11" i="2" s="1"/>
  <c r="K11" i="2" s="1"/>
  <c r="E9" i="2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<sst xmlns="http://schemas.openxmlformats.org/spreadsheetml/2006/main" count="198" uniqueCount="54">
  <si>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</si>
  <si>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</si>
  <si>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</si>
  <si>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</si>
  <si>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</si>
  <si>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</si>
  <si>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</si>
  <si>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</si>
  <si>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</si>
  <si>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</si>
  <si>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</si>
  <si>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</si>
  <si>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</si>
  <si>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</si>
  <si>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</si>
  <si>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</si>
  <si>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</si>
  <si>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</si>
  <si>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</si>
  <si>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</si>
  <si>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</si>
  <si>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</si>
  <si>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</si>
  <si>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</si>
  <si>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</si>
  <si>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</si>
  <si>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</si>
  <si>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</si>
  <si>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</si>
  <si>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</si>
  <si>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</si>
  <si>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</si>
  <si>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</si>
  <si>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</si>
  <si>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</si>
  <si>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</si>
  <si>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</si>
  <si>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</si>
  <si>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</si>
  <si>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</si>
  <si>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</si>
  <si>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</si>
  <si>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</si>
  <si>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</si>
  <si>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</si>
  <si>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</si>
  <si>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</si>
  <si>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Nava</t>
  </si>
  <si>
    <t>Expiry</t>
  </si>
  <si>
    <t>Magpies</t>
  </si>
  <si>
    <t>Kangaroos</t>
  </si>
  <si>
    <t>GWS</t>
  </si>
  <si>
    <t>DRAW</t>
  </si>
  <si>
    <t>Tigers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</si>
</sst>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7" borderId="0" xfId="0" applyFill="1" applyBorder="1" applyAlignment="1">
      <alignment horizontal="center" vertical="center"/>
    </xf>
    <xf numFmtId="0" fontId="0" fillId="7" borderId="0" xfId="0" applyFill="1" applyBorder="1" applyAlignment="1">
      <alignment horizontal="center"/>
    </xf>
    <xf numFmtId="9" fontId="0" fillId="2" borderId="0" xfId="0" applyNumberForma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56"/>
  <sheetViews>
    <sheetView tabSelected="1" zoomScale="136" workbookViewId="0">
      <pane ySplit="4" topLeftCell="A37" activePane="bottomLeft" state="frozen"/>
      <selection pane="bottomLeft" activeCell="D57" sqref="D57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34</v>
      </c>
      <c r="D13" s="58">
        <v>1.2</v>
      </c>
      <c r="E13" s="41">
        <f t="shared" ref="E13:E47" si="5">1/D13</f>
        <v>0.83333333333333337</v>
      </c>
      <c r="F13" s="21">
        <f t="shared" ref="F13:F47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11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3" t="s">
        <v>49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2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4" t="s">
        <v>36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74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2">
      <c r="B24" s="47">
        <v>20</v>
      </c>
      <c r="C24" s="64" t="s">
        <v>19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28" si="12">1/F24</f>
        <v>1.7567567567567568</v>
      </c>
      <c r="H24" s="52">
        <v>0</v>
      </c>
      <c r="I24" s="74" t="s">
        <v>7</v>
      </c>
      <c r="J24" s="26">
        <f t="shared" si="10"/>
        <v>0</v>
      </c>
      <c r="K24" s="27">
        <f t="shared" si="11"/>
        <v>0</v>
      </c>
    </row>
    <row r="25" spans="2:11" x14ac:dyDescent="0.2">
      <c r="B25" s="47">
        <v>21</v>
      </c>
      <c r="C25" s="64" t="s">
        <v>20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74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2">
      <c r="B26" s="47">
        <v>22</v>
      </c>
      <c r="C26" s="64" t="s">
        <v>22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75" t="s">
        <v>7</v>
      </c>
      <c r="J26" s="26">
        <f t="shared" si="10"/>
        <v>0</v>
      </c>
      <c r="K26" s="27">
        <f t="shared" si="11"/>
        <v>0</v>
      </c>
    </row>
    <row r="27" spans="2:11" x14ac:dyDescent="0.2">
      <c r="B27" s="47">
        <v>23</v>
      </c>
      <c r="C27" s="64" t="s">
        <v>34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75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2">
      <c r="B28" s="47">
        <v>24</v>
      </c>
      <c r="C28" s="64" t="s">
        <v>50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H28" s="52">
        <v>0</v>
      </c>
      <c r="I28" s="74" t="s">
        <v>7</v>
      </c>
      <c r="J28" s="26">
        <f t="shared" si="10"/>
        <v>0</v>
      </c>
      <c r="K28" s="27">
        <f t="shared" si="11"/>
        <v>0</v>
      </c>
    </row>
    <row r="29" spans="2:11" x14ac:dyDescent="0.2">
      <c r="B29" s="47">
        <v>25</v>
      </c>
      <c r="C29" s="64" t="s">
        <v>18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v>1.88</v>
      </c>
      <c r="H29" s="52">
        <v>1</v>
      </c>
      <c r="I29" s="74" t="s">
        <v>11</v>
      </c>
      <c r="J29" s="26">
        <f t="shared" si="10"/>
        <v>-1</v>
      </c>
      <c r="K29" s="27">
        <f t="shared" si="11"/>
        <v>-55.55</v>
      </c>
    </row>
    <row r="30" spans="2:11" ht="16" thickBot="1" x14ac:dyDescent="0.25">
      <c r="B30" s="47">
        <v>26</v>
      </c>
      <c r="C30" s="64" t="s">
        <v>16</v>
      </c>
      <c r="D30" s="11">
        <v>1.1100000000000001</v>
      </c>
      <c r="E30" s="43">
        <f t="shared" si="5"/>
        <v>0.9009009009009008</v>
      </c>
      <c r="F30" s="61">
        <f t="shared" si="6"/>
        <v>0.70090090090090085</v>
      </c>
      <c r="G30" s="50">
        <v>1.44</v>
      </c>
      <c r="H30" s="9">
        <v>0</v>
      </c>
      <c r="I30" s="76" t="s">
        <v>7</v>
      </c>
      <c r="J30" s="26">
        <f t="shared" si="10"/>
        <v>0</v>
      </c>
      <c r="K30" s="27">
        <f t="shared" si="11"/>
        <v>0</v>
      </c>
    </row>
    <row r="31" spans="2:11" x14ac:dyDescent="0.2">
      <c r="B31" s="57">
        <v>27</v>
      </c>
      <c r="C31" s="65" t="s">
        <v>19</v>
      </c>
      <c r="D31" s="23">
        <v>1.35</v>
      </c>
      <c r="E31" s="41">
        <f t="shared" si="5"/>
        <v>0.7407407407407407</v>
      </c>
      <c r="F31" s="60">
        <f t="shared" si="6"/>
        <v>0.54074074074074074</v>
      </c>
      <c r="G31" s="68">
        <f>1/F31</f>
        <v>1.8493150684931507</v>
      </c>
      <c r="H31" s="71">
        <v>1</v>
      </c>
      <c r="I31" s="71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2">
      <c r="B32" s="44">
        <v>28</v>
      </c>
      <c r="C32" s="66" t="s">
        <v>35</v>
      </c>
      <c r="D32" s="52">
        <v>1.1499999999999999</v>
      </c>
      <c r="E32" s="42">
        <f t="shared" si="5"/>
        <v>0.86956521739130443</v>
      </c>
      <c r="F32" s="56">
        <f t="shared" si="6"/>
        <v>0.66956521739130448</v>
      </c>
      <c r="G32" s="69">
        <f t="shared" ref="G32:G47" si="13">1/F32</f>
        <v>1.4935064935064932</v>
      </c>
      <c r="H32" s="73">
        <v>0</v>
      </c>
      <c r="I32" s="73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2">
      <c r="B33" s="44">
        <v>29</v>
      </c>
      <c r="C33" s="66" t="s">
        <v>22</v>
      </c>
      <c r="D33" s="52">
        <v>1.67</v>
      </c>
      <c r="E33" s="42">
        <f t="shared" si="5"/>
        <v>0.5988023952095809</v>
      </c>
      <c r="F33" s="56">
        <f t="shared" si="6"/>
        <v>0.39880239520958088</v>
      </c>
      <c r="G33" s="69">
        <v>2.52</v>
      </c>
      <c r="H33" s="73">
        <v>0</v>
      </c>
      <c r="I33" s="73" t="s">
        <v>7</v>
      </c>
      <c r="J33" s="26">
        <f t="shared" si="14"/>
        <v>0</v>
      </c>
      <c r="K33" s="27">
        <f t="shared" si="15"/>
        <v>0</v>
      </c>
    </row>
    <row r="34" spans="2:11" x14ac:dyDescent="0.2">
      <c r="B34" s="44">
        <v>30</v>
      </c>
      <c r="C34" s="66" t="s">
        <v>49</v>
      </c>
      <c r="D34" s="52">
        <v>1.42</v>
      </c>
      <c r="E34" s="42">
        <f t="shared" si="5"/>
        <v>0.70422535211267612</v>
      </c>
      <c r="F34" s="56">
        <f t="shared" si="6"/>
        <v>0.50422535211267605</v>
      </c>
      <c r="G34" s="69">
        <f t="shared" si="13"/>
        <v>1.9832402234636872</v>
      </c>
      <c r="H34" s="73">
        <v>0</v>
      </c>
      <c r="I34" s="73" t="s">
        <v>7</v>
      </c>
      <c r="J34" s="26">
        <f t="shared" si="14"/>
        <v>0</v>
      </c>
      <c r="K34" s="27">
        <f t="shared" si="15"/>
        <v>0</v>
      </c>
    </row>
    <row r="35" spans="2:11" x14ac:dyDescent="0.2">
      <c r="B35" s="44">
        <v>31</v>
      </c>
      <c r="C35" s="66" t="s">
        <v>36</v>
      </c>
      <c r="D35" s="52">
        <v>1.27</v>
      </c>
      <c r="E35" s="42">
        <f t="shared" si="5"/>
        <v>0.78740157480314954</v>
      </c>
      <c r="F35" s="56">
        <f t="shared" si="6"/>
        <v>0.58740157480314958</v>
      </c>
      <c r="G35" s="69">
        <f t="shared" si="13"/>
        <v>1.7024128686327078</v>
      </c>
      <c r="H35" s="73">
        <v>1</v>
      </c>
      <c r="I35" s="73" t="s">
        <v>11</v>
      </c>
      <c r="J35" s="26">
        <f t="shared" si="14"/>
        <v>-1</v>
      </c>
      <c r="K35" s="27">
        <f t="shared" si="15"/>
        <v>-55.55</v>
      </c>
    </row>
    <row r="36" spans="2:11" x14ac:dyDescent="0.2">
      <c r="B36" s="44">
        <v>32</v>
      </c>
      <c r="C36" s="66" t="s">
        <v>16</v>
      </c>
      <c r="D36" s="52">
        <v>1.1299999999999999</v>
      </c>
      <c r="E36" s="42">
        <f t="shared" si="5"/>
        <v>0.88495575221238942</v>
      </c>
      <c r="F36" s="56">
        <f t="shared" si="6"/>
        <v>0.68495575221238947</v>
      </c>
      <c r="G36" s="69">
        <f t="shared" si="13"/>
        <v>1.4599483204134365</v>
      </c>
      <c r="H36" s="73">
        <v>0</v>
      </c>
      <c r="I36" s="73" t="s">
        <v>7</v>
      </c>
      <c r="J36" s="26">
        <f t="shared" si="14"/>
        <v>0</v>
      </c>
      <c r="K36" s="27">
        <f t="shared" si="15"/>
        <v>0</v>
      </c>
    </row>
    <row r="37" spans="2:11" x14ac:dyDescent="0.2">
      <c r="B37" s="44">
        <v>33</v>
      </c>
      <c r="C37" s="66" t="s">
        <v>38</v>
      </c>
      <c r="D37" s="52">
        <v>1.1299999999999999</v>
      </c>
      <c r="E37" s="42">
        <f t="shared" si="5"/>
        <v>0.88495575221238942</v>
      </c>
      <c r="F37" s="56">
        <f t="shared" si="6"/>
        <v>0.68495575221238947</v>
      </c>
      <c r="G37" s="69">
        <f t="shared" si="13"/>
        <v>1.4599483204134365</v>
      </c>
      <c r="H37" s="73">
        <v>0</v>
      </c>
      <c r="I37" s="73" t="s">
        <v>7</v>
      </c>
      <c r="J37" s="26">
        <f t="shared" si="14"/>
        <v>0</v>
      </c>
      <c r="K37" s="27">
        <f t="shared" si="15"/>
        <v>0</v>
      </c>
    </row>
    <row r="38" spans="2:11" x14ac:dyDescent="0.2">
      <c r="B38" s="44">
        <v>34</v>
      </c>
      <c r="C38" s="66" t="s">
        <v>18</v>
      </c>
      <c r="D38" s="52">
        <v>1.37</v>
      </c>
      <c r="E38" s="42">
        <f t="shared" si="5"/>
        <v>0.72992700729927007</v>
      </c>
      <c r="F38" s="56">
        <f t="shared" si="6"/>
        <v>0.52992700729927011</v>
      </c>
      <c r="G38" s="69">
        <f t="shared" si="13"/>
        <v>1.887052341597796</v>
      </c>
      <c r="H38" s="73">
        <v>0</v>
      </c>
      <c r="I38" s="73" t="s">
        <v>7</v>
      </c>
      <c r="J38" s="26">
        <f t="shared" si="14"/>
        <v>0</v>
      </c>
      <c r="K38" s="27">
        <f t="shared" si="15"/>
        <v>0</v>
      </c>
    </row>
    <row r="39" spans="2:11" ht="16" thickBot="1" x14ac:dyDescent="0.25">
      <c r="B39" s="44">
        <v>35</v>
      </c>
      <c r="C39" s="67" t="s">
        <v>51</v>
      </c>
      <c r="D39" s="9">
        <v>1.52</v>
      </c>
      <c r="E39" s="43">
        <f t="shared" si="5"/>
        <v>0.65789473684210531</v>
      </c>
      <c r="F39" s="61">
        <f t="shared" si="6"/>
        <v>0.4578947368421053</v>
      </c>
      <c r="G39" s="70">
        <v>2.2200000000000002</v>
      </c>
      <c r="H39" s="72">
        <v>1</v>
      </c>
      <c r="I39" s="72" t="s">
        <v>7</v>
      </c>
      <c r="J39" s="28">
        <f>IF(H39=0,0,IF(I39="WON",(G39-1)*0.94,-1))</f>
        <v>1.1468</v>
      </c>
      <c r="K39" s="29">
        <v>65.739999999999995</v>
      </c>
    </row>
    <row r="40" spans="2:11" ht="16" thickBot="1" x14ac:dyDescent="0.25">
      <c r="B40" s="46">
        <v>36</v>
      </c>
      <c r="C40" s="64" t="s">
        <v>22</v>
      </c>
      <c r="D40" s="52">
        <v>1.28</v>
      </c>
      <c r="E40" s="42">
        <f t="shared" si="5"/>
        <v>0.78125</v>
      </c>
      <c r="F40" s="56">
        <f t="shared" si="6"/>
        <v>0.58125000000000004</v>
      </c>
      <c r="G40" s="69">
        <f t="shared" si="13"/>
        <v>1.7204301075268815</v>
      </c>
      <c r="H40" s="73">
        <v>1</v>
      </c>
      <c r="I40" s="73" t="s">
        <v>52</v>
      </c>
      <c r="J40" s="28">
        <v>-0.14000000000000001</v>
      </c>
      <c r="K40" s="27">
        <f t="shared" si="15"/>
        <v>-7.7770000000000001</v>
      </c>
    </row>
    <row r="41" spans="2:11" ht="16" thickBot="1" x14ac:dyDescent="0.25">
      <c r="B41" s="47">
        <v>37</v>
      </c>
      <c r="C41" s="64" t="s">
        <v>16</v>
      </c>
      <c r="D41" s="52">
        <v>1.54</v>
      </c>
      <c r="E41" s="42">
        <f t="shared" si="5"/>
        <v>0.64935064935064934</v>
      </c>
      <c r="F41" s="56">
        <f t="shared" si="6"/>
        <v>0.44935064935064933</v>
      </c>
      <c r="G41" s="69">
        <v>2.2400000000000002</v>
      </c>
      <c r="H41" s="73">
        <v>1</v>
      </c>
      <c r="I41" s="73" t="s">
        <v>7</v>
      </c>
      <c r="J41" s="28">
        <f t="shared" ref="J41:J49" si="16">IF(H41=0,0,IF(I41="WON",(G41-1)*0.94,-1))</f>
        <v>1.1656000000000002</v>
      </c>
      <c r="K41" s="27">
        <f t="shared" si="15"/>
        <v>64.749080000000006</v>
      </c>
    </row>
    <row r="42" spans="2:11" ht="16" thickBot="1" x14ac:dyDescent="0.25">
      <c r="B42" s="47">
        <v>38</v>
      </c>
      <c r="C42" s="64" t="s">
        <v>34</v>
      </c>
      <c r="D42" s="52">
        <v>1.7</v>
      </c>
      <c r="E42" s="42">
        <f t="shared" si="5"/>
        <v>0.58823529411764708</v>
      </c>
      <c r="F42" s="56">
        <f t="shared" si="6"/>
        <v>0.38823529411764707</v>
      </c>
      <c r="G42" s="69">
        <f t="shared" si="13"/>
        <v>2.5757575757575757</v>
      </c>
      <c r="H42" s="73">
        <v>1</v>
      </c>
      <c r="I42" s="73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2">
      <c r="B43" s="47">
        <v>39</v>
      </c>
      <c r="C43" s="64" t="s">
        <v>18</v>
      </c>
      <c r="D43" s="52">
        <v>1.0900000000000001</v>
      </c>
      <c r="E43" s="42">
        <f t="shared" si="5"/>
        <v>0.9174311926605504</v>
      </c>
      <c r="F43" s="56">
        <f t="shared" si="6"/>
        <v>0.71743119266055033</v>
      </c>
      <c r="G43" s="69">
        <f t="shared" si="13"/>
        <v>1.3938618925831205</v>
      </c>
      <c r="H43" s="73">
        <v>0</v>
      </c>
      <c r="I43" s="73" t="s">
        <v>7</v>
      </c>
      <c r="J43" s="26">
        <f t="shared" si="16"/>
        <v>0</v>
      </c>
      <c r="K43" s="27">
        <f t="shared" si="15"/>
        <v>0</v>
      </c>
    </row>
    <row r="44" spans="2:11" x14ac:dyDescent="0.2">
      <c r="B44" s="47">
        <v>40</v>
      </c>
      <c r="C44" s="64" t="s">
        <v>36</v>
      </c>
      <c r="D44" s="52">
        <v>1.28</v>
      </c>
      <c r="E44" s="42">
        <f t="shared" si="5"/>
        <v>0.78125</v>
      </c>
      <c r="F44" s="56">
        <f t="shared" si="6"/>
        <v>0.58125000000000004</v>
      </c>
      <c r="G44" s="69">
        <f t="shared" si="13"/>
        <v>1.7204301075268815</v>
      </c>
      <c r="H44" s="73">
        <v>1</v>
      </c>
      <c r="I44" s="73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2">
      <c r="B45" s="47">
        <v>41</v>
      </c>
      <c r="C45" s="64" t="s">
        <v>38</v>
      </c>
      <c r="D45" s="52">
        <v>1.64</v>
      </c>
      <c r="E45" s="42">
        <f t="shared" si="5"/>
        <v>0.6097560975609756</v>
      </c>
      <c r="F45" s="56">
        <f t="shared" si="6"/>
        <v>0.40975609756097559</v>
      </c>
      <c r="G45" s="69">
        <f t="shared" si="13"/>
        <v>2.4404761904761907</v>
      </c>
      <c r="H45" s="73">
        <v>1</v>
      </c>
      <c r="I45" s="73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2">
      <c r="B46" s="47">
        <v>42</v>
      </c>
      <c r="C46" s="64" t="s">
        <v>19</v>
      </c>
      <c r="D46" s="52">
        <v>1.2</v>
      </c>
      <c r="E46" s="42">
        <f t="shared" si="5"/>
        <v>0.83333333333333337</v>
      </c>
      <c r="F46" s="56">
        <f t="shared" si="6"/>
        <v>0.6333333333333333</v>
      </c>
      <c r="G46" s="69">
        <f t="shared" si="13"/>
        <v>1.5789473684210527</v>
      </c>
      <c r="H46" s="73">
        <v>0</v>
      </c>
      <c r="I46" s="73" t="s">
        <v>7</v>
      </c>
      <c r="J46" s="26">
        <f t="shared" si="16"/>
        <v>0</v>
      </c>
      <c r="K46" s="27">
        <f>J46*J$3</f>
        <v>0</v>
      </c>
    </row>
    <row r="47" spans="2:11" ht="16" thickBot="1" x14ac:dyDescent="0.25">
      <c r="B47" s="47">
        <v>43</v>
      </c>
      <c r="C47" s="64" t="s">
        <v>20</v>
      </c>
      <c r="D47" s="52">
        <v>1.61</v>
      </c>
      <c r="E47" s="42">
        <f t="shared" si="5"/>
        <v>0.6211180124223602</v>
      </c>
      <c r="F47" s="56">
        <f t="shared" si="6"/>
        <v>0.42111801242236019</v>
      </c>
      <c r="G47" s="69">
        <f t="shared" si="13"/>
        <v>2.3746312684365787</v>
      </c>
      <c r="H47" s="73">
        <v>0</v>
      </c>
      <c r="I47" s="73" t="s">
        <v>7</v>
      </c>
      <c r="J47" s="26">
        <f t="shared" si="16"/>
        <v>0</v>
      </c>
      <c r="K47" s="27">
        <f>J47*J$3</f>
        <v>0</v>
      </c>
    </row>
    <row r="48" spans="2:11" x14ac:dyDescent="0.2">
      <c r="B48" s="65">
        <v>44</v>
      </c>
      <c r="C48" s="57" t="s">
        <v>16</v>
      </c>
      <c r="D48" s="23">
        <v>1.76</v>
      </c>
      <c r="E48" s="41">
        <f t="shared" ref="E48:E56" si="17">1/D48</f>
        <v>0.56818181818181823</v>
      </c>
      <c r="F48" s="60">
        <f t="shared" ref="F48:F56" si="18">E48-0.2</f>
        <v>0.36818181818181822</v>
      </c>
      <c r="G48" s="68">
        <f t="shared" ref="G48:G56" si="19">1/F48</f>
        <v>2.716049382716049</v>
      </c>
      <c r="H48" s="80">
        <v>1</v>
      </c>
      <c r="I48" s="80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2">
      <c r="B49" s="66">
        <v>45</v>
      </c>
      <c r="C49" s="44" t="s">
        <v>18</v>
      </c>
      <c r="D49" s="78">
        <v>1.1000000000000001</v>
      </c>
      <c r="E49" s="42">
        <f t="shared" si="17"/>
        <v>0.90909090909090906</v>
      </c>
      <c r="F49" s="79">
        <f t="shared" si="18"/>
        <v>0.70909090909090899</v>
      </c>
      <c r="G49" s="69">
        <f t="shared" si="19"/>
        <v>1.4102564102564104</v>
      </c>
      <c r="H49" s="77">
        <v>0</v>
      </c>
      <c r="I49" s="77" t="s">
        <v>7</v>
      </c>
      <c r="J49" s="26">
        <f t="shared" si="20"/>
        <v>0</v>
      </c>
      <c r="K49" s="27">
        <f t="shared" si="21"/>
        <v>0</v>
      </c>
    </row>
    <row r="50" spans="2:11" x14ac:dyDescent="0.2">
      <c r="B50" s="66">
        <v>46</v>
      </c>
      <c r="C50" s="44" t="s">
        <v>15</v>
      </c>
      <c r="D50" s="78">
        <v>1.93</v>
      </c>
      <c r="E50" s="42">
        <f t="shared" si="17"/>
        <v>0.5181347150259068</v>
      </c>
      <c r="F50" s="79">
        <f t="shared" si="18"/>
        <v>0.31813471502590679</v>
      </c>
      <c r="G50" s="69">
        <v>3.15</v>
      </c>
      <c r="H50" s="77">
        <v>1</v>
      </c>
      <c r="I50" s="77" t="s">
        <v>11</v>
      </c>
      <c r="J50" s="26">
        <f t="shared" si="20"/>
        <v>-1</v>
      </c>
      <c r="K50" s="27">
        <f t="shared" si="21"/>
        <v>-55.55</v>
      </c>
    </row>
    <row r="51" spans="2:11" x14ac:dyDescent="0.2">
      <c r="B51" s="66">
        <v>47</v>
      </c>
      <c r="C51" s="44" t="s">
        <v>19</v>
      </c>
      <c r="D51" s="78">
        <v>1.41</v>
      </c>
      <c r="E51" s="42">
        <f t="shared" si="17"/>
        <v>0.70921985815602839</v>
      </c>
      <c r="F51" s="79">
        <f t="shared" si="18"/>
        <v>0.50921985815602833</v>
      </c>
      <c r="G51" s="69">
        <f t="shared" si="19"/>
        <v>1.9637883008356547</v>
      </c>
      <c r="H51" s="77">
        <v>1</v>
      </c>
      <c r="I51" s="77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2">
      <c r="B52" s="66">
        <v>48</v>
      </c>
      <c r="C52" s="44" t="s">
        <v>37</v>
      </c>
      <c r="D52" s="78">
        <v>1.1200000000000001</v>
      </c>
      <c r="E52" s="42">
        <f t="shared" si="17"/>
        <v>0.89285714285714279</v>
      </c>
      <c r="F52" s="79">
        <f t="shared" si="18"/>
        <v>0.69285714285714284</v>
      </c>
      <c r="G52" s="69">
        <v>1.45</v>
      </c>
      <c r="H52" s="77">
        <v>1</v>
      </c>
      <c r="I52" s="77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2">
      <c r="B53" s="66">
        <v>49</v>
      </c>
      <c r="C53" s="44" t="s">
        <v>20</v>
      </c>
      <c r="D53" s="78">
        <v>1.45</v>
      </c>
      <c r="E53" s="42">
        <f t="shared" si="17"/>
        <v>0.68965517241379315</v>
      </c>
      <c r="F53" s="79">
        <f t="shared" si="18"/>
        <v>0.48965517241379314</v>
      </c>
      <c r="G53" s="69">
        <f t="shared" si="19"/>
        <v>2.0422535211267605</v>
      </c>
      <c r="H53" s="77">
        <v>1</v>
      </c>
      <c r="I53" s="77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2">
      <c r="B54" s="66">
        <v>50</v>
      </c>
      <c r="C54" s="44" t="s">
        <v>36</v>
      </c>
      <c r="D54" s="78">
        <v>1.51</v>
      </c>
      <c r="E54" s="42">
        <f t="shared" si="17"/>
        <v>0.66225165562913912</v>
      </c>
      <c r="F54" s="79">
        <f t="shared" si="18"/>
        <v>0.46225165562913911</v>
      </c>
      <c r="G54" s="69">
        <v>2.17</v>
      </c>
      <c r="H54" s="77">
        <v>0</v>
      </c>
      <c r="I54" s="77" t="s">
        <v>7</v>
      </c>
      <c r="J54" s="26">
        <f t="shared" si="20"/>
        <v>0</v>
      </c>
      <c r="K54" s="27">
        <f t="shared" si="21"/>
        <v>0</v>
      </c>
    </row>
    <row r="55" spans="2:11" x14ac:dyDescent="0.2">
      <c r="B55" s="66">
        <v>51</v>
      </c>
      <c r="C55" s="44" t="s">
        <v>35</v>
      </c>
      <c r="D55" s="78">
        <v>1.1200000000000001</v>
      </c>
      <c r="E55" s="42">
        <f t="shared" si="17"/>
        <v>0.89285714285714279</v>
      </c>
      <c r="F55" s="79">
        <f t="shared" si="18"/>
        <v>0.69285714285714284</v>
      </c>
      <c r="G55" s="69">
        <f t="shared" si="19"/>
        <v>1.4432989690721649</v>
      </c>
      <c r="H55" s="81"/>
      <c r="I55" s="81"/>
      <c r="J55" s="26">
        <f t="shared" si="20"/>
        <v>0</v>
      </c>
      <c r="K55" s="27">
        <f t="shared" si="21"/>
        <v>0</v>
      </c>
    </row>
    <row r="56" spans="2:11" ht="16" thickBot="1" x14ac:dyDescent="0.25">
      <c r="B56" s="67">
        <v>52</v>
      </c>
      <c r="C56" s="45" t="s">
        <v>53</v>
      </c>
      <c r="D56" s="9">
        <v>1.17</v>
      </c>
      <c r="E56" s="43">
        <f t="shared" si="17"/>
        <v>0.85470085470085477</v>
      </c>
      <c r="F56" s="61">
        <f t="shared" si="18"/>
        <v>0.65470085470085482</v>
      </c>
      <c r="G56" s="70">
        <f t="shared" si="19"/>
        <v>1.5274151436031329</v>
      </c>
      <c r="H56" s="82"/>
      <c r="I56" s="82"/>
      <c r="J56" s="28">
        <f t="shared" si="20"/>
        <v>0</v>
      </c>
      <c r="K56" s="29">
        <f t="shared" si="21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2"/>
  <sheetViews>
    <sheetView zoomScale="165" workbookViewId="0">
      <selection activeCell="K12" sqref="K5:K12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ht="16" thickBot="1" x14ac:dyDescent="0.25">
      <c r="B10" s="2">
        <v>6</v>
      </c>
      <c r="C10" s="54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  <row r="11" spans="2:12" ht="16" thickBot="1" x14ac:dyDescent="0.25">
      <c r="B11" s="2">
        <v>7</v>
      </c>
      <c r="C11" s="54" t="s">
        <v>47</v>
      </c>
      <c r="D11" s="31">
        <v>1.75</v>
      </c>
      <c r="E11" s="20">
        <f t="shared" ref="E11" si="7">1/D11</f>
        <v>0.5714285714285714</v>
      </c>
      <c r="F11" s="21">
        <f t="shared" ref="F11" si="8">E11-0.2</f>
        <v>0.37142857142857139</v>
      </c>
      <c r="G11" s="22">
        <v>2.7</v>
      </c>
      <c r="H11" s="30">
        <v>1</v>
      </c>
      <c r="I11" s="31" t="s">
        <v>11</v>
      </c>
      <c r="J11" s="15">
        <f t="shared" ref="J11" si="9">IF(H11=0,0,IF(I11="WON",(G11-1),-1))</f>
        <v>-1</v>
      </c>
      <c r="K11" s="25">
        <f t="shared" ref="K11" si="10">J11*J$3</f>
        <v>-55.55</v>
      </c>
    </row>
    <row r="12" spans="2:12" x14ac:dyDescent="0.2">
      <c r="B12" s="2">
        <v>8</v>
      </c>
      <c r="C12" s="54" t="s">
        <v>47</v>
      </c>
      <c r="D12" s="31">
        <v>2.75</v>
      </c>
      <c r="E12" s="20">
        <f t="shared" ref="E12" si="11">1/D12</f>
        <v>0.36363636363636365</v>
      </c>
      <c r="F12" s="21">
        <f t="shared" ref="F12" si="12">E12-0.2</f>
        <v>0.16363636363636364</v>
      </c>
      <c r="G12" s="22">
        <f>1/F12</f>
        <v>6.1111111111111107</v>
      </c>
      <c r="H12" s="30">
        <v>1</v>
      </c>
      <c r="I12" s="31" t="s">
        <v>11</v>
      </c>
      <c r="J12" s="15">
        <f t="shared" ref="J12" si="13">IF(H12=0,0,IF(I12="WON",(G12-1),-1))</f>
        <v>-1</v>
      </c>
      <c r="K12" s="25">
        <f t="shared" ref="K12" si="14">J12*J$3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I7" sqref="I7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33</v>
      </c>
    </row>
    <row r="3" spans="2:14" ht="16" thickBot="1" x14ac:dyDescent="0.25">
      <c r="B3" s="1"/>
      <c r="C3" s="1"/>
      <c r="D3" s="1"/>
      <c r="E3" s="1"/>
      <c r="K3" s="32" t="s">
        <v>30</v>
      </c>
      <c r="L3" s="7"/>
      <c r="M3" s="39"/>
      <c r="N3" s="39"/>
    </row>
    <row r="4" spans="2:14" ht="16" thickBot="1" x14ac:dyDescent="0.25">
      <c r="B4" s="13" t="s">
        <v>0</v>
      </c>
      <c r="C4" s="13" t="s">
        <v>48</v>
      </c>
      <c r="D4" s="13" t="s">
        <v>25</v>
      </c>
      <c r="E4" s="33" t="s">
        <v>26</v>
      </c>
      <c r="F4" s="13" t="s">
        <v>27</v>
      </c>
      <c r="G4" s="34" t="s">
        <v>28</v>
      </c>
      <c r="H4" s="17" t="s">
        <v>31</v>
      </c>
      <c r="I4" s="13" t="s">
        <v>29</v>
      </c>
      <c r="J4" s="13" t="s">
        <v>32</v>
      </c>
      <c r="K4" s="14" t="s">
        <v>24</v>
      </c>
      <c r="L4" s="14" t="s">
        <v>12</v>
      </c>
    </row>
    <row r="5" spans="2:14" ht="16" thickBot="1" x14ac:dyDescent="0.25">
      <c r="B5" s="2">
        <v>1</v>
      </c>
      <c r="C5" s="55">
        <v>46150</v>
      </c>
      <c r="D5" s="35">
        <v>555</v>
      </c>
      <c r="E5" s="35">
        <v>570</v>
      </c>
      <c r="F5" s="35">
        <v>630</v>
      </c>
      <c r="G5" s="35">
        <v>645</v>
      </c>
      <c r="H5" s="36">
        <v>0.96</v>
      </c>
      <c r="I5" s="37">
        <v>571</v>
      </c>
      <c r="J5" s="36">
        <f t="shared" ref="J5:J6" si="0">IF(AND(I5&lt;=F5,I5&gt;=E5),0,IF(I5&lt;E5,MAX(I5-E5,D5-E5),MAX(F5-I5,F5-G5)))</f>
        <v>0</v>
      </c>
      <c r="K5" s="40">
        <v>0.3</v>
      </c>
      <c r="L5" s="38">
        <f t="shared" ref="L5:L6" si="1">(H5+J5)*100-K5</f>
        <v>95.7</v>
      </c>
    </row>
    <row r="6" spans="2:14" x14ac:dyDescent="0.2">
      <c r="B6" s="2">
        <v>2</v>
      </c>
      <c r="C6" s="55">
        <v>46157</v>
      </c>
      <c r="D6" s="35">
        <v>570</v>
      </c>
      <c r="E6" s="35">
        <v>585</v>
      </c>
      <c r="F6" s="35">
        <v>645</v>
      </c>
      <c r="G6" s="35">
        <v>660</v>
      </c>
      <c r="H6" s="36">
        <v>0.96</v>
      </c>
      <c r="I6" s="37">
        <v>540</v>
      </c>
      <c r="J6" s="36">
        <f t="shared" si="0"/>
        <v>-15</v>
      </c>
      <c r="K6" s="40">
        <v>0.3</v>
      </c>
      <c r="L6" s="38">
        <f t="shared" si="1"/>
        <v>-1404.3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2026-05-09T13:01:44Z</dcterms:modified>
</cp:coreProperties>
</file>