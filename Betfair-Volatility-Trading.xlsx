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28264E47-3593-4465-8AF9-894880A65E1E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4" i="2" l="1"/>
  <c r="K94" i="2" s="1"/>
  <c r="J93" i="2"/>
  <c r="K93" i="2" s="1"/>
  <c r="J92" i="2"/>
  <c r="K92" i="2"/>
  <c r="J91" i="2"/>
  <c r="K91" i="2" s="1"/>
  <c r="J90" i="2"/>
  <c r="K90" i="2" s="1"/>
  <c r="J89" i="2"/>
  <c r="K89" i="2"/>
  <c r="J88" i="2"/>
  <c r="K88" i="2"/>
  <c r="J87" i="2"/>
  <c r="K87" i="2" s="1"/>
  <c r="J86" i="2"/>
  <c r="K86" i="2"/>
  <c r="J85" i="2"/>
  <c r="K85" i="2"/>
  <c r="E94" i="2"/>
  <c r="F94" i="2"/>
  <c r="G94" i="2"/>
  <c r="E93" i="2"/>
  <c r="F93" i="2"/>
  <c r="G93" i="2"/>
  <c r="E92" i="2"/>
  <c r="F92" i="2" s="1"/>
  <c r="G92" i="2" s="1"/>
  <c r="E91" i="2"/>
  <c r="F91" i="2" s="1"/>
  <c r="E90" i="2"/>
  <c r="F90" i="2" s="1"/>
  <c r="E89" i="2"/>
  <c r="F89" i="2"/>
  <c r="G89" i="2"/>
  <c r="E88" i="2"/>
  <c r="F88" i="2" s="1"/>
  <c r="G88" i="2" s="1"/>
  <c r="E87" i="2"/>
  <c r="F87" i="2"/>
  <c r="G87" i="2" s="1"/>
  <c r="E86" i="2"/>
  <c r="F86" i="2" s="1"/>
  <c r="G86" i="2" s="1"/>
  <c r="E85" i="2"/>
  <c r="F85" i="2" s="1"/>
  <c r="J74" i="2"/>
  <c r="K74" i="2" s="1"/>
  <c r="J75" i="2"/>
  <c r="K75" i="2" s="1"/>
  <c r="J76" i="2"/>
  <c r="K76" i="2" s="1"/>
  <c r="J77" i="2"/>
  <c r="K77" i="2"/>
  <c r="J78" i="2"/>
  <c r="K78" i="2" s="1"/>
  <c r="J79" i="2"/>
  <c r="K79" i="2" s="1"/>
  <c r="J80" i="2"/>
  <c r="K80" i="2" s="1"/>
  <c r="J81" i="2"/>
  <c r="K81" i="2" s="1"/>
  <c r="J82" i="2"/>
  <c r="K82" i="2"/>
  <c r="J83" i="2"/>
  <c r="K83" i="2" s="1"/>
  <c r="J84" i="2"/>
  <c r="K84" i="2" s="1"/>
  <c r="E84" i="2"/>
  <c r="F84" i="2" s="1"/>
  <c r="G84" i="2" s="1"/>
  <c r="E83" i="2"/>
  <c r="F83" i="2"/>
  <c r="G83" i="2"/>
  <c r="E82" i="2"/>
  <c r="F82" i="2"/>
  <c r="G82" i="2" s="1"/>
  <c r="E81" i="2"/>
  <c r="F81" i="2" s="1"/>
  <c r="G81" i="2" s="1"/>
  <c r="E80" i="2"/>
  <c r="F80" i="2"/>
  <c r="G80" i="2" s="1"/>
  <c r="G79" i="2"/>
  <c r="E79" i="2"/>
  <c r="F79" i="2" s="1"/>
  <c r="E78" i="2"/>
  <c r="F78" i="2"/>
  <c r="E77" i="2"/>
  <c r="F77" i="2"/>
  <c r="G77" i="2"/>
  <c r="E76" i="2"/>
  <c r="F76" i="2"/>
  <c r="G76" i="2"/>
  <c r="G75" i="2"/>
  <c r="E75" i="2"/>
  <c r="F75" i="2" s="1"/>
  <c r="E74" i="2"/>
  <c r="F74" i="2"/>
  <c r="J73" i="2"/>
  <c r="K73" i="2" s="1"/>
  <c r="J72" i="2"/>
  <c r="K72" i="2" s="1"/>
  <c r="J71" i="2"/>
  <c r="K71" i="2" s="1"/>
  <c r="E73" i="2"/>
  <c r="F73" i="2"/>
  <c r="G73" i="2" s="1"/>
  <c r="E72" i="2"/>
  <c r="F72" i="2" s="1"/>
  <c r="G72" i="2" s="1"/>
  <c r="E71" i="2"/>
  <c r="F71" i="2" s="1"/>
  <c r="G71" i="2" s="1"/>
  <c r="J70" i="2"/>
  <c r="K70" i="2" s="1"/>
  <c r="J69" i="2"/>
  <c r="K69" i="2"/>
  <c r="J68" i="2"/>
  <c r="K68" i="2" s="1"/>
  <c r="J67" i="2"/>
  <c r="K67" i="2" s="1"/>
  <c r="E70" i="2"/>
  <c r="F70" i="2" s="1"/>
  <c r="G70" i="2" s="1"/>
  <c r="E69" i="2"/>
  <c r="F69" i="2" s="1"/>
  <c r="G69" i="2" s="1"/>
  <c r="E68" i="2"/>
  <c r="F68" i="2" s="1"/>
  <c r="G68" i="2" s="1"/>
  <c r="E67" i="2"/>
  <c r="F67" i="2"/>
  <c r="G67" i="2"/>
  <c r="E62" i="2"/>
  <c r="F62" i="2" s="1"/>
  <c r="G62" i="2" s="1"/>
  <c r="J62" i="2"/>
  <c r="K62" i="2" s="1"/>
  <c r="E63" i="2"/>
  <c r="F63" i="2" s="1"/>
  <c r="G63" i="2" s="1"/>
  <c r="J63" i="2"/>
  <c r="K63" i="2" s="1"/>
  <c r="E64" i="2"/>
  <c r="F64" i="2" s="1"/>
  <c r="J64" i="2"/>
  <c r="K64" i="2" s="1"/>
  <c r="E65" i="2"/>
  <c r="F65" i="2" s="1"/>
  <c r="G65" i="2" s="1"/>
  <c r="J65" i="2"/>
  <c r="K65" i="2" s="1"/>
  <c r="E66" i="2"/>
  <c r="F66" i="2" s="1"/>
  <c r="G66" i="2" s="1"/>
  <c r="J66" i="2"/>
  <c r="K66" i="2" s="1"/>
  <c r="E61" i="2"/>
  <c r="F61" i="2" s="1"/>
  <c r="G61" i="2" s="1"/>
  <c r="E60" i="2"/>
  <c r="F60" i="2"/>
  <c r="G60" i="2" s="1"/>
  <c r="E59" i="2"/>
  <c r="F59" i="2" s="1"/>
  <c r="E58" i="2"/>
  <c r="F58" i="2" s="1"/>
  <c r="G58" i="2" s="1"/>
  <c r="J58" i="2" s="1"/>
  <c r="K58" i="2" s="1"/>
  <c r="E57" i="2"/>
  <c r="F57" i="2" s="1"/>
  <c r="G57" i="2" s="1"/>
  <c r="E56" i="2"/>
  <c r="F56" i="2" s="1"/>
  <c r="E55" i="2"/>
  <c r="F55" i="2"/>
  <c r="G55" i="2" s="1"/>
  <c r="E54" i="2"/>
  <c r="F54" i="2" s="1"/>
  <c r="G54" i="2" s="1"/>
  <c r="E53" i="2"/>
  <c r="F53" i="2" s="1"/>
  <c r="G53" i="2" s="1"/>
  <c r="J53" i="2" s="1"/>
  <c r="K53" i="2" s="1"/>
  <c r="J54" i="2"/>
  <c r="K54" i="2" s="1"/>
  <c r="J55" i="2"/>
  <c r="K55" i="2" s="1"/>
  <c r="J56" i="2"/>
  <c r="K56" i="2" s="1"/>
  <c r="J57" i="2"/>
  <c r="K57" i="2" s="1"/>
  <c r="J59" i="2"/>
  <c r="K59" i="2" s="1"/>
  <c r="J60" i="2"/>
  <c r="K60" i="2" s="1"/>
  <c r="J61" i="2"/>
  <c r="K61" i="2" s="1"/>
  <c r="E52" i="2"/>
  <c r="F52" i="2" s="1"/>
  <c r="G52" i="2" s="1"/>
  <c r="J52" i="2" s="1"/>
  <c r="K52" i="2" s="1"/>
  <c r="E51" i="2"/>
  <c r="F51" i="2" s="1"/>
  <c r="G51" i="2" s="1"/>
  <c r="J51" i="2" s="1"/>
  <c r="K51" i="2" s="1"/>
  <c r="E50" i="2"/>
  <c r="F50" i="2" s="1"/>
  <c r="G50" i="2" s="1"/>
  <c r="J50" i="2" s="1"/>
  <c r="K50" i="2" s="1"/>
  <c r="E49" i="2"/>
  <c r="F49" i="2"/>
  <c r="E48" i="2"/>
  <c r="F48" i="2"/>
  <c r="G48" i="2" s="1"/>
  <c r="J48" i="2" s="1"/>
  <c r="K48" i="2" s="1"/>
  <c r="E47" i="2"/>
  <c r="F47" i="2" s="1"/>
  <c r="J47" i="2" s="1"/>
  <c r="K47" i="2" s="1"/>
  <c r="E46" i="2"/>
  <c r="F46" i="2" s="1"/>
  <c r="J46" i="2" s="1"/>
  <c r="K46" i="2" s="1"/>
  <c r="J45" i="2"/>
  <c r="K45" i="2" s="1"/>
  <c r="J49" i="2"/>
  <c r="K49" i="2" s="1"/>
  <c r="E45" i="2"/>
  <c r="F45" i="2" s="1"/>
  <c r="J44" i="2"/>
  <c r="K44" i="2" s="1"/>
  <c r="E44" i="2"/>
  <c r="F44" i="2" s="1"/>
  <c r="G44" i="2" s="1"/>
  <c r="J43" i="2"/>
  <c r="K43" i="2" s="1"/>
  <c r="J42" i="2"/>
  <c r="K42" i="2" s="1"/>
  <c r="E43" i="2"/>
  <c r="F43" i="2" s="1"/>
  <c r="E42" i="2"/>
  <c r="F42" i="2" s="1"/>
  <c r="G42" i="2" s="1"/>
  <c r="J40" i="2"/>
  <c r="K40" i="2" s="1"/>
  <c r="E41" i="2"/>
  <c r="F41" i="2" s="1"/>
  <c r="G41" i="2" s="1"/>
  <c r="J41" i="2" s="1"/>
  <c r="K41" i="2" s="1"/>
  <c r="E40" i="2"/>
  <c r="F40" i="2" s="1"/>
  <c r="J38" i="2"/>
  <c r="K38" i="2" s="1"/>
  <c r="J39" i="2"/>
  <c r="K39" i="2"/>
  <c r="E39" i="2"/>
  <c r="F39" i="2" s="1"/>
  <c r="G39" i="2" s="1"/>
  <c r="E38" i="2"/>
  <c r="F38" i="2" s="1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 s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 s="1"/>
  <c r="J36" i="2"/>
  <c r="K36" i="2" s="1"/>
  <c r="E36" i="2"/>
  <c r="F36" i="2"/>
  <c r="G36" i="2" s="1"/>
  <c r="J35" i="2"/>
  <c r="K35" i="2" s="1"/>
  <c r="E35" i="2"/>
  <c r="F35" i="2" s="1"/>
  <c r="G35" i="2" s="1"/>
  <c r="J34" i="2"/>
  <c r="K34" i="2" s="1"/>
  <c r="E34" i="2"/>
  <c r="F34" i="2" s="1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 s="1"/>
  <c r="E30" i="2"/>
  <c r="F30" i="2" s="1"/>
  <c r="J30" i="2"/>
  <c r="K30" i="2" s="1"/>
  <c r="E29" i="2"/>
  <c r="F29" i="2"/>
  <c r="G29" i="2"/>
  <c r="J29" i="2" s="1"/>
  <c r="K29" i="2" s="1"/>
  <c r="J14" i="2"/>
  <c r="K14" i="2" s="1"/>
  <c r="E21" i="2"/>
  <c r="F21" i="2" s="1"/>
  <c r="G21" i="2" s="1"/>
  <c r="J21" i="2"/>
  <c r="K21" i="2" s="1"/>
  <c r="E22" i="2"/>
  <c r="F22" i="2"/>
  <c r="J22" i="2"/>
  <c r="K22" i="2" s="1"/>
  <c r="E23" i="2"/>
  <c r="F23" i="2" s="1"/>
  <c r="G23" i="2" s="1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 s="1"/>
  <c r="G26" i="2" s="1"/>
  <c r="J26" i="2"/>
  <c r="K26" i="2" s="1"/>
  <c r="E27" i="2"/>
  <c r="F27" i="2" s="1"/>
  <c r="G27" i="2" s="1"/>
  <c r="J27" i="2"/>
  <c r="K27" i="2" s="1"/>
  <c r="E28" i="2"/>
  <c r="F28" i="2" s="1"/>
  <c r="G28" i="2" s="1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 s="1"/>
  <c r="E14" i="2"/>
  <c r="F14" i="2"/>
  <c r="E13" i="2"/>
  <c r="F13" i="2"/>
  <c r="G13" i="2"/>
  <c r="E12" i="2"/>
  <c r="F12" i="2" s="1"/>
  <c r="G12" i="2" s="1"/>
  <c r="E11" i="2"/>
  <c r="F11" i="2" s="1"/>
  <c r="G11" i="2" s="1"/>
  <c r="J57" i="1"/>
  <c r="K57" i="1" s="1"/>
  <c r="J59" i="1"/>
  <c r="K59" i="1" s="1"/>
  <c r="J61" i="1"/>
  <c r="K61" i="1" s="1"/>
  <c r="J62" i="1"/>
  <c r="K62" i="1" s="1"/>
  <c r="J63" i="1"/>
  <c r="K63" i="1" s="1"/>
  <c r="J64" i="1"/>
  <c r="K64" i="1" s="1"/>
  <c r="J65" i="1"/>
  <c r="K65" i="1" s="1"/>
  <c r="E57" i="1"/>
  <c r="F57" i="1" s="1"/>
  <c r="G57" i="1" s="1"/>
  <c r="E58" i="1"/>
  <c r="F58" i="1" s="1"/>
  <c r="G58" i="1" s="1"/>
  <c r="J58" i="1" s="1"/>
  <c r="K58" i="1" s="1"/>
  <c r="E59" i="1"/>
  <c r="F59" i="1" s="1"/>
  <c r="G59" i="1" s="1"/>
  <c r="E60" i="1"/>
  <c r="F60" i="1"/>
  <c r="G60" i="1" s="1"/>
  <c r="J60" i="1" s="1"/>
  <c r="K60" i="1" s="1"/>
  <c r="E61" i="1"/>
  <c r="F61" i="1" s="1"/>
  <c r="G61" i="1" s="1"/>
  <c r="E62" i="1"/>
  <c r="F62" i="1"/>
  <c r="E63" i="1"/>
  <c r="F63" i="1" s="1"/>
  <c r="G63" i="1" s="1"/>
  <c r="E64" i="1"/>
  <c r="F64" i="1" s="1"/>
  <c r="G64" i="1" s="1"/>
  <c r="E65" i="1"/>
  <c r="F65" i="1" s="1"/>
  <c r="G65" i="1" s="1"/>
  <c r="J49" i="1"/>
  <c r="K49" i="1" s="1"/>
  <c r="J50" i="1"/>
  <c r="K50" i="1" s="1"/>
  <c r="J52" i="1"/>
  <c r="K52" i="1" s="1"/>
  <c r="J54" i="1"/>
  <c r="K54" i="1" s="1"/>
  <c r="J55" i="1"/>
  <c r="K55" i="1" s="1"/>
  <c r="E48" i="1"/>
  <c r="F48" i="1" s="1"/>
  <c r="G48" i="1" s="1"/>
  <c r="J48" i="1" s="1"/>
  <c r="K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J53" i="1" s="1"/>
  <c r="K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 s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<sst xmlns="http://schemas.openxmlformats.org/spreadsheetml/2006/main" count="347" uniqueCount="123">
  <si>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</si>
  <si>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</si>
  <si>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</si>
  <si>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</si>
  <si>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</si>
  <si>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</si>
  <si>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</si>
  <si>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</si>
  <si>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</si>
  <si>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</si>
  <si>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</si>
  <si>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</si>
  <si>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</si>
  <si>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</si>
  <si>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</si>
  <si>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</si>
  <si>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</si>
  <si>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</si>
  <si>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</si>
  <si>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</si>
  <si>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</si>
  <si>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</si>
  <si>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</si>
  <si>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</si>
  <si>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</si>
  <si>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</si>
  <si>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</si>
  <si>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</si>
  <si>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</si>
  <si>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</si>
  <si>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</si>
  <si>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</si>
  <si>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</si>
  <si>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</si>
  <si>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</si>
  <si>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</si>
  <si>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</si>
  <si>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</si>
  <si>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</si>
  <si>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</si>
  <si>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</si>
  <si>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</si>
  <si>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</si>
  <si>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</si>
  <si>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</si>
  <si>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</si>
  <si>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</si>
  <si>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</si>
  <si>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</si>
  <si>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</si>
  <si>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</si>
  <si>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</si>
  <si>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</si>
  <si>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</si>
  <si>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</si>
  <si>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</si>
  <si>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</si>
  <si>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</si>
  <si>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</si>
  <si>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</si>
  <si>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</si>
  <si>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</si>
  <si>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</si>
  <si>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</si>
  <si>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</si>
  <si>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</si>
  <si>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</si>
  <si>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</si>
  <si>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</si>
  <si>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</si>
  <si>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</si>
  <si>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</si>
  <si>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</si>
  <si>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</si>
  <si>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</si>
  <si>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</si>
  <si>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</si>
  <si>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</si>
  <si>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</si>
  <si>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</si>
  <si>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</si>
  <si>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</si>
  <si>
    <t>Guerrieri</t>
  </si>
  <si>
    <t>Jacquet</t>
  </si>
  <si>
    <t>Wang</t>
  </si>
  <si>
    <t>Buse</t>
  </si>
  <si>
    <t>Bublik</t>
  </si>
  <si>
    <t>De Minaur</t>
  </si>
  <si>
    <t>Djokovic</t>
  </si>
  <si>
    <t>Baptiste</t>
  </si>
  <si>
    <t>Fritz</t>
  </si>
  <si>
    <t>Halys</t>
  </si>
  <si>
    <t>Medjedovic</t>
  </si>
  <si>
    <t>Cina</t>
  </si>
  <si>
    <t>Machac</t>
  </si>
  <si>
    <t>Volynets</t>
  </si>
  <si>
    <t>Rublev</t>
  </si>
  <si>
    <t>Hurkacz</t>
  </si>
  <si>
    <t>Nakashima</t>
  </si>
  <si>
    <t>De Jong</t>
  </si>
  <si>
    <t>Tiafoe</t>
  </si>
  <si>
    <t>Atmane</t>
  </si>
  <si>
    <t>Ostapenko</t>
  </si>
  <si>
    <t>Udvardy</t>
  </si>
  <si>
    <t>Anisimova</t>
  </si>
  <si>
    <t>Shelton</t>
  </si>
  <si>
    <t>Tirante</t>
  </si>
  <si>
    <t>Cilic</t>
  </si>
  <si>
    <t>Medvedev</t>
  </si>
  <si>
    <t>Sabalenka</t>
  </si>
  <si>
    <t>Moutet</t>
  </si>
  <si>
    <t>Cerundolo</t>
  </si>
  <si>
    <t>Olinykova</t>
  </si>
  <si>
    <t>Auger-Aliassime</t>
  </si>
  <si>
    <t>Rybakina</t>
  </si>
  <si>
    <t>Humbert</t>
  </si>
  <si>
    <t>Carreno Busta</t>
  </si>
  <si>
    <t>Jodar</t>
  </si>
  <si>
    <t>Kecmanovic</t>
  </si>
  <si>
    <t>Prizmic</t>
  </si>
  <si>
    <t>Michelsen</t>
  </si>
  <si>
    <t>Cirstea</t>
  </si>
  <si>
    <t>Frech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</si>
</sst>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2" fontId="3" fillId="7" borderId="0" xfId="0" applyNumberFormat="1" applyFont="1" applyFill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74"/>
  <sheetViews>
    <sheetView zoomScale="124" workbookViewId="0">
      <pane ySplit="4" topLeftCell="A71" activePane="bottomLeft" state="frozen"/>
      <selection pane="bottomLeft" activeCell="L61" sqref="L61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51">
        <v>1.17</v>
      </c>
      <c r="E56" s="41">
        <f t="shared" si="17"/>
        <v>0.85470085470085477</v>
      </c>
      <c r="F56" s="54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87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1">
        <v>1.18</v>
      </c>
      <c r="E58" s="41">
        <f t="shared" si="22"/>
        <v>0.84745762711864414</v>
      </c>
      <c r="F58" s="6">
        <f t="shared" si="23"/>
        <v>0.64745762711864407</v>
      </c>
      <c r="G58" s="86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1">
        <v>1.25</v>
      </c>
      <c r="E59" s="41">
        <f t="shared" si="22"/>
        <v>0.8</v>
      </c>
      <c r="F59" s="6">
        <f t="shared" si="23"/>
        <v>0.60000000000000009</v>
      </c>
      <c r="G59" s="86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1">
        <v>1.53</v>
      </c>
      <c r="E60" s="41">
        <f t="shared" si="22"/>
        <v>0.65359477124183007</v>
      </c>
      <c r="F60" s="6">
        <f t="shared" si="23"/>
        <v>0.45359477124183006</v>
      </c>
      <c r="G60" s="86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1">
        <v>1.49</v>
      </c>
      <c r="E61" s="41">
        <f t="shared" si="22"/>
        <v>0.67114093959731547</v>
      </c>
      <c r="F61" s="6">
        <f t="shared" si="23"/>
        <v>0.47114093959731546</v>
      </c>
      <c r="G61" s="86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1">
        <v>1.74</v>
      </c>
      <c r="E62" s="41">
        <f t="shared" si="22"/>
        <v>0.57471264367816088</v>
      </c>
      <c r="F62" s="6">
        <f t="shared" si="23"/>
        <v>0.37471264367816087</v>
      </c>
      <c r="G62" s="86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1">
        <v>1.21</v>
      </c>
      <c r="E63" s="41">
        <f t="shared" si="22"/>
        <v>0.82644628099173556</v>
      </c>
      <c r="F63" s="6">
        <f t="shared" si="23"/>
        <v>0.62644628099173549</v>
      </c>
      <c r="G63" s="86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1">
        <v>1.1200000000000001</v>
      </c>
      <c r="E64" s="41">
        <f t="shared" si="22"/>
        <v>0.89285714285714279</v>
      </c>
      <c r="F64" s="6">
        <f t="shared" si="23"/>
        <v>0.69285714285714284</v>
      </c>
      <c r="G64" s="86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1">
        <v>1.28</v>
      </c>
      <c r="E65" s="41">
        <f t="shared" si="22"/>
        <v>0.78125</v>
      </c>
      <c r="F65" s="6">
        <f t="shared" si="23"/>
        <v>0.58125000000000004</v>
      </c>
      <c r="G65" s="86">
        <f t="shared" si="24"/>
        <v>1.7204301075268815</v>
      </c>
      <c r="H65" s="51">
        <v>1</v>
      </c>
      <c r="I65" s="72" t="s">
        <v>10</v>
      </c>
      <c r="J65" s="77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89" t="s">
        <v>21</v>
      </c>
      <c r="D66" s="75">
        <v>1.62</v>
      </c>
      <c r="E66" s="40">
        <f t="shared" ref="E66:E74" si="27">1/D66</f>
        <v>0.61728395061728392</v>
      </c>
      <c r="F66" s="58">
        <f t="shared" ref="F66:F74" si="28">E66-0.2</f>
        <v>0.41728395061728391</v>
      </c>
      <c r="G66" s="87">
        <f t="shared" ref="G66:G73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88" t="s">
        <v>75</v>
      </c>
      <c r="D67" s="1">
        <v>1.55</v>
      </c>
      <c r="E67" s="41">
        <f t="shared" si="27"/>
        <v>0.64516129032258063</v>
      </c>
      <c r="F67" s="54">
        <f t="shared" si="28"/>
        <v>0.44516129032258062</v>
      </c>
      <c r="G67" s="86">
        <v>2.2599999999999998</v>
      </c>
      <c r="H67" s="51">
        <v>1</v>
      </c>
      <c r="I67" s="51" t="s">
        <v>10</v>
      </c>
      <c r="J67" s="77">
        <f t="shared" si="30"/>
        <v>-1</v>
      </c>
      <c r="K67" s="27">
        <f t="shared" si="31"/>
        <v>-55.55</v>
      </c>
    </row>
    <row r="68" spans="2:11" x14ac:dyDescent="0.3">
      <c r="B68" s="64">
        <v>64</v>
      </c>
      <c r="C68" s="88" t="s">
        <v>15</v>
      </c>
      <c r="D68" s="1">
        <v>1.34</v>
      </c>
      <c r="E68" s="41">
        <f t="shared" si="27"/>
        <v>0.74626865671641784</v>
      </c>
      <c r="F68" s="54">
        <f t="shared" si="28"/>
        <v>0.54626865671641789</v>
      </c>
      <c r="G68" s="86">
        <f t="shared" si="29"/>
        <v>1.8306010928961749</v>
      </c>
      <c r="H68" s="51">
        <v>1</v>
      </c>
      <c r="I68" s="51" t="s">
        <v>7</v>
      </c>
      <c r="J68" s="77">
        <f t="shared" si="30"/>
        <v>0.78076502732240438</v>
      </c>
      <c r="K68" s="27">
        <f t="shared" si="31"/>
        <v>43.371497267759558</v>
      </c>
    </row>
    <row r="69" spans="2:11" x14ac:dyDescent="0.3">
      <c r="B69" s="64">
        <v>65</v>
      </c>
      <c r="C69" s="88" t="s">
        <v>19</v>
      </c>
      <c r="D69" s="1">
        <v>1.65</v>
      </c>
      <c r="E69" s="41">
        <f t="shared" si="27"/>
        <v>0.60606060606060608</v>
      </c>
      <c r="F69" s="54">
        <f t="shared" si="28"/>
        <v>0.40606060606060607</v>
      </c>
      <c r="G69" s="86">
        <f t="shared" si="29"/>
        <v>2.4626865671641789</v>
      </c>
      <c r="H69" s="51">
        <v>0</v>
      </c>
      <c r="I69" s="51" t="s">
        <v>10</v>
      </c>
      <c r="J69" s="77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88" t="s">
        <v>34</v>
      </c>
      <c r="D70" s="1">
        <v>1.58</v>
      </c>
      <c r="E70" s="41">
        <f t="shared" si="27"/>
        <v>0.63291139240506322</v>
      </c>
      <c r="F70" s="54">
        <f t="shared" si="28"/>
        <v>0.43291139240506321</v>
      </c>
      <c r="G70" s="86">
        <v>2.3199999999999998</v>
      </c>
      <c r="H70" s="51">
        <v>0</v>
      </c>
      <c r="I70" s="51" t="s">
        <v>7</v>
      </c>
      <c r="J70" s="77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88" t="s">
        <v>44</v>
      </c>
      <c r="D71" s="1">
        <v>1.0900000000000001</v>
      </c>
      <c r="E71" s="41">
        <f t="shared" si="27"/>
        <v>0.9174311926605504</v>
      </c>
      <c r="F71" s="54">
        <f t="shared" si="28"/>
        <v>0.71743119266055033</v>
      </c>
      <c r="G71" s="86">
        <f t="shared" si="29"/>
        <v>1.3938618925831205</v>
      </c>
      <c r="H71" s="51">
        <v>0</v>
      </c>
      <c r="I71" s="51" t="s">
        <v>7</v>
      </c>
      <c r="J71" s="77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88" t="s">
        <v>14</v>
      </c>
      <c r="D72" s="1">
        <v>1.58</v>
      </c>
      <c r="E72" s="41">
        <f t="shared" si="27"/>
        <v>0.63291139240506322</v>
      </c>
      <c r="F72" s="54">
        <f t="shared" si="28"/>
        <v>0.43291139240506321</v>
      </c>
      <c r="G72" s="86">
        <v>2.3199999999999998</v>
      </c>
      <c r="H72" s="51">
        <v>1</v>
      </c>
      <c r="I72" s="51" t="s">
        <v>10</v>
      </c>
      <c r="J72" s="77">
        <f t="shared" si="30"/>
        <v>-1</v>
      </c>
      <c r="K72" s="27">
        <f t="shared" si="31"/>
        <v>-55.55</v>
      </c>
    </row>
    <row r="73" spans="2:11" x14ac:dyDescent="0.3">
      <c r="B73" s="64">
        <v>69</v>
      </c>
      <c r="C73" s="88" t="s">
        <v>17</v>
      </c>
      <c r="D73" s="1">
        <v>1.71</v>
      </c>
      <c r="E73" s="41">
        <f t="shared" si="27"/>
        <v>0.58479532163742687</v>
      </c>
      <c r="F73" s="54">
        <f t="shared" si="28"/>
        <v>0.38479532163742686</v>
      </c>
      <c r="G73" s="86">
        <f t="shared" si="29"/>
        <v>2.5987841945288759</v>
      </c>
      <c r="H73" s="51">
        <v>1</v>
      </c>
      <c r="I73" s="51" t="s">
        <v>10</v>
      </c>
      <c r="J73" s="77">
        <f t="shared" si="30"/>
        <v>-1</v>
      </c>
      <c r="K73" s="27">
        <f t="shared" si="31"/>
        <v>-55.55</v>
      </c>
    </row>
    <row r="74" spans="2:11" ht="15" thickBot="1" x14ac:dyDescent="0.35">
      <c r="B74" s="65">
        <v>70</v>
      </c>
      <c r="C74" s="90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1">
        <v>3.05</v>
      </c>
      <c r="H74" s="9">
        <v>1</v>
      </c>
      <c r="I74" s="51" t="s">
        <v>10</v>
      </c>
      <c r="J74" s="78">
        <f t="shared" si="30"/>
        <v>-1</v>
      </c>
      <c r="K74" s="29">
        <f t="shared" si="31"/>
        <v>-55.55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94"/>
  <sheetViews>
    <sheetView tabSelected="1" topLeftCell="A88" zoomScale="147" workbookViewId="0">
      <selection activeCell="H91" sqref="H91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61" si="15">1/D21</f>
        <v>0.65789473684210531</v>
      </c>
      <c r="F21" s="6">
        <f t="shared" ref="F21:F61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0</v>
      </c>
      <c r="I38" s="1" t="s">
        <v>7</v>
      </c>
      <c r="J38" s="26">
        <f t="shared" ref="J38:J39" si="35">IF(H38=0,0,IF(I38="WON",(G38*0.94-1),-1))</f>
        <v>0</v>
      </c>
      <c r="K38" s="27">
        <f t="shared" ref="K38:K39" si="36">J38*J$3</f>
        <v>0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0</v>
      </c>
      <c r="I39" s="1" t="s">
        <v>7</v>
      </c>
      <c r="J39" s="26">
        <f t="shared" si="35"/>
        <v>0</v>
      </c>
      <c r="K39" s="27">
        <f t="shared" si="36"/>
        <v>0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0</v>
      </c>
      <c r="I40" s="1" t="s">
        <v>7</v>
      </c>
      <c r="J40" s="26">
        <f t="shared" ref="J40:J44" si="37">IF(H40=0,0,IF(I40="WON",(G40*0.94-1),-1))</f>
        <v>0</v>
      </c>
      <c r="K40" s="27">
        <f t="shared" ref="K40:K44" si="38">J40*J$3</f>
        <v>0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1</v>
      </c>
      <c r="I41" s="1" t="s">
        <v>7</v>
      </c>
      <c r="J41" s="26">
        <f t="shared" si="37"/>
        <v>0.75604395604395647</v>
      </c>
      <c r="K41" s="27">
        <f t="shared" si="38"/>
        <v>41.998241758241782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0</v>
      </c>
      <c r="I42" s="1" t="s">
        <v>7</v>
      </c>
      <c r="J42" s="26">
        <f t="shared" si="37"/>
        <v>0</v>
      </c>
      <c r="K42" s="27">
        <f t="shared" si="38"/>
        <v>0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1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0</v>
      </c>
      <c r="I44" s="1" t="s">
        <v>7</v>
      </c>
      <c r="J44" s="26">
        <f t="shared" si="37"/>
        <v>0</v>
      </c>
      <c r="K44" s="27">
        <f t="shared" si="38"/>
        <v>0</v>
      </c>
    </row>
    <row r="45" spans="2:11" x14ac:dyDescent="0.3">
      <c r="B45" s="3">
        <v>41</v>
      </c>
      <c r="C45" s="79" t="s">
        <v>82</v>
      </c>
      <c r="D45" s="7">
        <v>1.9</v>
      </c>
      <c r="E45" s="80">
        <f t="shared" si="15"/>
        <v>0.52631578947368418</v>
      </c>
      <c r="F45" s="6">
        <f t="shared" si="16"/>
        <v>0.32631578947368417</v>
      </c>
      <c r="G45" s="52">
        <v>3.1</v>
      </c>
      <c r="H45" s="1">
        <v>1</v>
      </c>
      <c r="I45" s="1" t="s">
        <v>10</v>
      </c>
      <c r="J45" s="26">
        <f t="shared" ref="J45:J51" si="40">IF(H45=0,0,IF(I45="WON",(G45*0.94-1),-1))</f>
        <v>-1</v>
      </c>
      <c r="K45" s="27">
        <f t="shared" ref="K45:K51" si="41">J45*J$3</f>
        <v>-55.55</v>
      </c>
    </row>
    <row r="46" spans="2:11" x14ac:dyDescent="0.3">
      <c r="B46" s="3">
        <v>42</v>
      </c>
      <c r="C46" s="79" t="s">
        <v>83</v>
      </c>
      <c r="D46" s="7">
        <v>1.73</v>
      </c>
      <c r="E46" s="80">
        <f t="shared" si="15"/>
        <v>0.5780346820809249</v>
      </c>
      <c r="F46" s="6">
        <f t="shared" si="16"/>
        <v>0.37803468208092489</v>
      </c>
      <c r="G46" s="52">
        <v>2.66</v>
      </c>
      <c r="H46" s="1">
        <v>0</v>
      </c>
      <c r="I46" s="1" t="s">
        <v>10</v>
      </c>
      <c r="J46" s="26">
        <f t="shared" si="40"/>
        <v>0</v>
      </c>
      <c r="K46" s="27">
        <f t="shared" si="41"/>
        <v>0</v>
      </c>
    </row>
    <row r="47" spans="2:11" x14ac:dyDescent="0.3">
      <c r="B47" s="3">
        <v>43</v>
      </c>
      <c r="C47" s="79" t="s">
        <v>84</v>
      </c>
      <c r="D47" s="7">
        <v>1.68</v>
      </c>
      <c r="E47" s="80">
        <f t="shared" si="15"/>
        <v>0.59523809523809523</v>
      </c>
      <c r="F47" s="6">
        <f t="shared" si="16"/>
        <v>0.39523809523809522</v>
      </c>
      <c r="G47" s="52">
        <v>2.54</v>
      </c>
      <c r="H47" s="1">
        <v>0</v>
      </c>
      <c r="I47" s="1" t="s">
        <v>10</v>
      </c>
      <c r="J47" s="26">
        <f t="shared" si="40"/>
        <v>0</v>
      </c>
      <c r="K47" s="27">
        <f t="shared" si="41"/>
        <v>0</v>
      </c>
    </row>
    <row r="48" spans="2:11" x14ac:dyDescent="0.3">
      <c r="B48" s="3">
        <v>44</v>
      </c>
      <c r="C48" s="79" t="s">
        <v>85</v>
      </c>
      <c r="D48" s="7">
        <v>1.37</v>
      </c>
      <c r="E48" s="80">
        <f t="shared" si="15"/>
        <v>0.72992700729927007</v>
      </c>
      <c r="F48" s="6">
        <f t="shared" si="16"/>
        <v>0.52992700729927011</v>
      </c>
      <c r="G48" s="52">
        <f t="shared" ref="G48:G51" si="42">1/F48</f>
        <v>1.887052341597796</v>
      </c>
      <c r="H48" s="1">
        <v>0</v>
      </c>
      <c r="I48" s="1" t="s">
        <v>10</v>
      </c>
      <c r="J48" s="26">
        <f t="shared" si="40"/>
        <v>0</v>
      </c>
      <c r="K48" s="27">
        <f t="shared" si="41"/>
        <v>0</v>
      </c>
    </row>
    <row r="49" spans="2:11" x14ac:dyDescent="0.3">
      <c r="B49" s="3">
        <v>45</v>
      </c>
      <c r="C49" s="79" t="s">
        <v>86</v>
      </c>
      <c r="D49" s="7">
        <v>1.74</v>
      </c>
      <c r="E49" s="80">
        <f t="shared" si="15"/>
        <v>0.57471264367816088</v>
      </c>
      <c r="F49" s="6">
        <f t="shared" si="16"/>
        <v>0.37471264367816087</v>
      </c>
      <c r="G49" s="52">
        <v>2.68</v>
      </c>
      <c r="H49" s="1">
        <v>1</v>
      </c>
      <c r="I49" s="1" t="s">
        <v>10</v>
      </c>
      <c r="J49" s="26">
        <f t="shared" si="40"/>
        <v>-1</v>
      </c>
      <c r="K49" s="27">
        <f t="shared" si="41"/>
        <v>-55.55</v>
      </c>
    </row>
    <row r="50" spans="2:11" x14ac:dyDescent="0.3">
      <c r="B50" s="3">
        <v>46</v>
      </c>
      <c r="C50" s="79" t="s">
        <v>81</v>
      </c>
      <c r="D50" s="7">
        <v>1.4</v>
      </c>
      <c r="E50" s="80">
        <f t="shared" si="15"/>
        <v>0.7142857142857143</v>
      </c>
      <c r="F50" s="6">
        <f t="shared" si="16"/>
        <v>0.51428571428571423</v>
      </c>
      <c r="G50" s="52">
        <f t="shared" si="42"/>
        <v>1.9444444444444446</v>
      </c>
      <c r="H50" s="1">
        <v>1</v>
      </c>
      <c r="I50" s="1" t="s">
        <v>7</v>
      </c>
      <c r="J50" s="26">
        <f t="shared" si="40"/>
        <v>0.82777777777777795</v>
      </c>
      <c r="K50" s="27">
        <f t="shared" si="41"/>
        <v>45.983055555555559</v>
      </c>
    </row>
    <row r="51" spans="2:11" x14ac:dyDescent="0.3">
      <c r="B51" s="3">
        <v>47</v>
      </c>
      <c r="C51" s="79" t="s">
        <v>87</v>
      </c>
      <c r="D51" s="7">
        <v>1.7</v>
      </c>
      <c r="E51" s="80">
        <f t="shared" si="15"/>
        <v>0.58823529411764708</v>
      </c>
      <c r="F51" s="6">
        <f t="shared" si="16"/>
        <v>0.38823529411764707</v>
      </c>
      <c r="G51" s="52">
        <f t="shared" si="42"/>
        <v>2.5757575757575757</v>
      </c>
      <c r="H51" s="1">
        <v>1</v>
      </c>
      <c r="I51" s="1" t="s">
        <v>10</v>
      </c>
      <c r="J51" s="26">
        <f t="shared" si="40"/>
        <v>-1</v>
      </c>
      <c r="K51" s="27">
        <f t="shared" si="41"/>
        <v>-55.55</v>
      </c>
    </row>
    <row r="52" spans="2:11" x14ac:dyDescent="0.3">
      <c r="B52" s="3">
        <v>48</v>
      </c>
      <c r="C52" s="79" t="s">
        <v>88</v>
      </c>
      <c r="D52" s="7">
        <v>1.1399999999999999</v>
      </c>
      <c r="E52" s="80">
        <f t="shared" si="15"/>
        <v>0.87719298245614041</v>
      </c>
      <c r="F52" s="6">
        <f t="shared" si="16"/>
        <v>0.67719298245614046</v>
      </c>
      <c r="G52" s="52">
        <f>1/F52</f>
        <v>1.4766839378238339</v>
      </c>
      <c r="H52" s="1">
        <v>1</v>
      </c>
      <c r="I52" s="1" t="s">
        <v>7</v>
      </c>
      <c r="J52" s="26">
        <f t="shared" ref="J52:J61" si="43">IF(H52=0,0,IF(I52="WON",(G52*0.94-1),-1))</f>
        <v>0.38808290155440384</v>
      </c>
      <c r="K52" s="27">
        <f t="shared" ref="K52:K61" si="44">J52*J$3</f>
        <v>21.558005181347131</v>
      </c>
    </row>
    <row r="53" spans="2:11" x14ac:dyDescent="0.3">
      <c r="B53" s="3">
        <v>49</v>
      </c>
      <c r="C53" s="79" t="s">
        <v>89</v>
      </c>
      <c r="D53" s="7">
        <v>1.85</v>
      </c>
      <c r="E53" s="80">
        <f t="shared" si="15"/>
        <v>0.54054054054054046</v>
      </c>
      <c r="F53" s="6">
        <f t="shared" si="16"/>
        <v>0.34054054054054045</v>
      </c>
      <c r="G53" s="52">
        <f t="shared" ref="G53:G61" si="45">1/F53</f>
        <v>2.9365079365079372</v>
      </c>
      <c r="H53" s="1">
        <v>1</v>
      </c>
      <c r="I53" s="1" t="s">
        <v>7</v>
      </c>
      <c r="J53" s="26">
        <f t="shared" si="43"/>
        <v>1.7603174603174607</v>
      </c>
      <c r="K53" s="27">
        <f t="shared" si="44"/>
        <v>97.785634920634934</v>
      </c>
    </row>
    <row r="54" spans="2:11" x14ac:dyDescent="0.3">
      <c r="B54" s="3">
        <v>50</v>
      </c>
      <c r="C54" s="79" t="s">
        <v>90</v>
      </c>
      <c r="D54" s="7">
        <v>1.27</v>
      </c>
      <c r="E54" s="80">
        <f t="shared" si="15"/>
        <v>0.78740157480314954</v>
      </c>
      <c r="F54" s="6">
        <f t="shared" si="16"/>
        <v>0.58740157480314958</v>
      </c>
      <c r="G54" s="52">
        <f t="shared" si="45"/>
        <v>1.7024128686327078</v>
      </c>
      <c r="H54" s="1">
        <v>1</v>
      </c>
      <c r="I54" s="1" t="s">
        <v>10</v>
      </c>
      <c r="J54" s="26">
        <f t="shared" si="43"/>
        <v>-1</v>
      </c>
      <c r="K54" s="27">
        <f t="shared" si="44"/>
        <v>-55.55</v>
      </c>
    </row>
    <row r="55" spans="2:11" x14ac:dyDescent="0.3">
      <c r="B55" s="3">
        <v>51</v>
      </c>
      <c r="C55" s="79" t="s">
        <v>41</v>
      </c>
      <c r="D55" s="7">
        <v>1.06</v>
      </c>
      <c r="E55" s="80">
        <f t="shared" si="15"/>
        <v>0.94339622641509424</v>
      </c>
      <c r="F55" s="6">
        <f t="shared" si="16"/>
        <v>0.74339622641509417</v>
      </c>
      <c r="G55" s="52">
        <f t="shared" si="45"/>
        <v>1.3451776649746197</v>
      </c>
      <c r="H55" s="1">
        <v>0</v>
      </c>
      <c r="I55" s="1" t="s">
        <v>7</v>
      </c>
      <c r="J55" s="26">
        <f t="shared" si="43"/>
        <v>0</v>
      </c>
      <c r="K55" s="27">
        <f t="shared" si="44"/>
        <v>0</v>
      </c>
    </row>
    <row r="56" spans="2:11" x14ac:dyDescent="0.3">
      <c r="B56" s="3">
        <v>52</v>
      </c>
      <c r="C56" s="79" t="s">
        <v>91</v>
      </c>
      <c r="D56" s="7">
        <v>1.8</v>
      </c>
      <c r="E56" s="80">
        <f t="shared" si="15"/>
        <v>0.55555555555555558</v>
      </c>
      <c r="F56" s="6">
        <f t="shared" si="16"/>
        <v>0.35555555555555557</v>
      </c>
      <c r="G56" s="52">
        <v>2.82</v>
      </c>
      <c r="H56" s="1">
        <v>0</v>
      </c>
      <c r="I56" s="1" t="s">
        <v>7</v>
      </c>
      <c r="J56" s="26">
        <f t="shared" si="43"/>
        <v>0</v>
      </c>
      <c r="K56" s="27">
        <f t="shared" si="44"/>
        <v>0</v>
      </c>
    </row>
    <row r="57" spans="2:11" x14ac:dyDescent="0.3">
      <c r="B57" s="3">
        <v>53</v>
      </c>
      <c r="C57" s="79" t="s">
        <v>92</v>
      </c>
      <c r="D57" s="7">
        <v>1.62</v>
      </c>
      <c r="E57" s="80">
        <f t="shared" si="15"/>
        <v>0.61728395061728392</v>
      </c>
      <c r="F57" s="6">
        <f t="shared" si="16"/>
        <v>0.41728395061728391</v>
      </c>
      <c r="G57" s="52">
        <f t="shared" si="45"/>
        <v>2.3964497041420123</v>
      </c>
      <c r="H57" s="1">
        <v>0</v>
      </c>
      <c r="I57" s="1" t="s">
        <v>7</v>
      </c>
      <c r="J57" s="26">
        <f t="shared" si="43"/>
        <v>0</v>
      </c>
      <c r="K57" s="27">
        <f t="shared" si="44"/>
        <v>0</v>
      </c>
    </row>
    <row r="58" spans="2:11" x14ac:dyDescent="0.3">
      <c r="B58" s="3">
        <v>54</v>
      </c>
      <c r="C58" s="79" t="s">
        <v>93</v>
      </c>
      <c r="D58" s="7">
        <v>1.52</v>
      </c>
      <c r="E58" s="80">
        <f t="shared" si="15"/>
        <v>0.65789473684210531</v>
      </c>
      <c r="F58" s="6">
        <f t="shared" si="16"/>
        <v>0.4578947368421053</v>
      </c>
      <c r="G58" s="52">
        <f t="shared" si="45"/>
        <v>2.1839080459770113</v>
      </c>
      <c r="H58" s="1">
        <v>1</v>
      </c>
      <c r="I58" s="1" t="s">
        <v>7</v>
      </c>
      <c r="J58" s="26">
        <f t="shared" si="43"/>
        <v>1.0528735632183905</v>
      </c>
      <c r="K58" s="27">
        <f t="shared" si="44"/>
        <v>58.487126436781594</v>
      </c>
    </row>
    <row r="59" spans="2:11" x14ac:dyDescent="0.3">
      <c r="B59" s="3">
        <v>55</v>
      </c>
      <c r="C59" s="79" t="s">
        <v>94</v>
      </c>
      <c r="D59" s="7">
        <v>1.74</v>
      </c>
      <c r="E59" s="80">
        <f t="shared" si="15"/>
        <v>0.57471264367816088</v>
      </c>
      <c r="F59" s="6">
        <f t="shared" si="16"/>
        <v>0.37471264367816087</v>
      </c>
      <c r="G59" s="52">
        <v>2.68</v>
      </c>
      <c r="H59" s="1">
        <v>0</v>
      </c>
      <c r="I59" s="1" t="s">
        <v>7</v>
      </c>
      <c r="J59" s="26">
        <f t="shared" si="43"/>
        <v>0</v>
      </c>
      <c r="K59" s="27">
        <f t="shared" si="44"/>
        <v>0</v>
      </c>
    </row>
    <row r="60" spans="2:11" x14ac:dyDescent="0.3">
      <c r="B60" s="3">
        <v>56</v>
      </c>
      <c r="C60" s="79" t="s">
        <v>95</v>
      </c>
      <c r="D60" s="7">
        <v>1.25</v>
      </c>
      <c r="E60" s="80">
        <f t="shared" si="15"/>
        <v>0.8</v>
      </c>
      <c r="F60" s="6">
        <f t="shared" si="16"/>
        <v>0.60000000000000009</v>
      </c>
      <c r="G60" s="52">
        <f t="shared" si="45"/>
        <v>1.6666666666666665</v>
      </c>
      <c r="H60" s="1">
        <v>0</v>
      </c>
      <c r="I60" s="1" t="s">
        <v>7</v>
      </c>
      <c r="J60" s="26">
        <f t="shared" si="43"/>
        <v>0</v>
      </c>
      <c r="K60" s="27">
        <f t="shared" si="44"/>
        <v>0</v>
      </c>
    </row>
    <row r="61" spans="2:11" x14ac:dyDescent="0.3">
      <c r="B61" s="3">
        <v>57</v>
      </c>
      <c r="C61" s="79" t="s">
        <v>96</v>
      </c>
      <c r="D61" s="7">
        <v>1.44</v>
      </c>
      <c r="E61" s="80">
        <f t="shared" si="15"/>
        <v>0.69444444444444442</v>
      </c>
      <c r="F61" s="6">
        <f t="shared" si="16"/>
        <v>0.49444444444444441</v>
      </c>
      <c r="G61" s="52">
        <f t="shared" si="45"/>
        <v>2.0224719101123596</v>
      </c>
      <c r="H61" s="1">
        <v>1</v>
      </c>
      <c r="I61" s="1" t="s">
        <v>7</v>
      </c>
      <c r="J61" s="26">
        <f t="shared" si="43"/>
        <v>0.90112359550561782</v>
      </c>
      <c r="K61" s="27">
        <f t="shared" si="44"/>
        <v>50.05741573033707</v>
      </c>
    </row>
    <row r="62" spans="2:11" x14ac:dyDescent="0.3">
      <c r="B62" s="3">
        <v>58</v>
      </c>
      <c r="C62" s="79" t="s">
        <v>97</v>
      </c>
      <c r="D62" s="7">
        <v>1.78</v>
      </c>
      <c r="E62" s="80">
        <f t="shared" ref="E62:E94" si="46">1/D62</f>
        <v>0.5617977528089888</v>
      </c>
      <c r="F62" s="6">
        <f t="shared" ref="F62:F94" si="47">E62-0.2</f>
        <v>0.36179775280898879</v>
      </c>
      <c r="G62" s="52">
        <f t="shared" ref="G62:G73" si="48">1/F62</f>
        <v>2.7639751552795029</v>
      </c>
      <c r="H62" s="1">
        <v>0</v>
      </c>
      <c r="I62" s="1" t="s">
        <v>7</v>
      </c>
      <c r="J62" s="26">
        <f t="shared" ref="J62:J73" si="49">IF(H62=0,0,IF(I62="WON",(G62*0.94-1),-1))</f>
        <v>0</v>
      </c>
      <c r="K62" s="27">
        <f t="shared" ref="K62:K73" si="50">J62*J$3</f>
        <v>0</v>
      </c>
    </row>
    <row r="63" spans="2:11" x14ac:dyDescent="0.3">
      <c r="B63" s="3">
        <v>59</v>
      </c>
      <c r="C63" s="79" t="s">
        <v>98</v>
      </c>
      <c r="D63" s="7">
        <v>1.35</v>
      </c>
      <c r="E63" s="80">
        <f t="shared" si="46"/>
        <v>0.7407407407407407</v>
      </c>
      <c r="F63" s="6">
        <f t="shared" si="47"/>
        <v>0.54074074074074074</v>
      </c>
      <c r="G63" s="52">
        <f t="shared" si="48"/>
        <v>1.8493150684931507</v>
      </c>
      <c r="H63" s="1">
        <v>0</v>
      </c>
      <c r="I63" s="1" t="s">
        <v>7</v>
      </c>
      <c r="J63" s="26">
        <f t="shared" si="49"/>
        <v>0</v>
      </c>
      <c r="K63" s="27">
        <f t="shared" si="50"/>
        <v>0</v>
      </c>
    </row>
    <row r="64" spans="2:11" x14ac:dyDescent="0.3">
      <c r="B64" s="3">
        <v>60</v>
      </c>
      <c r="C64" s="79" t="s">
        <v>99</v>
      </c>
      <c r="D64" s="7">
        <v>1.69</v>
      </c>
      <c r="E64" s="80">
        <f t="shared" si="46"/>
        <v>0.59171597633136097</v>
      </c>
      <c r="F64" s="6">
        <f t="shared" si="47"/>
        <v>0.39171597633136096</v>
      </c>
      <c r="G64" s="52">
        <v>2.56</v>
      </c>
      <c r="H64" s="1">
        <v>0</v>
      </c>
      <c r="I64" s="1" t="s">
        <v>7</v>
      </c>
      <c r="J64" s="26">
        <f t="shared" si="49"/>
        <v>0</v>
      </c>
      <c r="K64" s="27">
        <f t="shared" si="50"/>
        <v>0</v>
      </c>
    </row>
    <row r="65" spans="2:11" x14ac:dyDescent="0.3">
      <c r="B65" s="3">
        <v>61</v>
      </c>
      <c r="C65" s="79" t="s">
        <v>100</v>
      </c>
      <c r="D65" s="7">
        <v>1.1100000000000001</v>
      </c>
      <c r="E65" s="80">
        <f t="shared" si="46"/>
        <v>0.9009009009009008</v>
      </c>
      <c r="F65" s="6">
        <f t="shared" si="47"/>
        <v>0.70090090090090085</v>
      </c>
      <c r="G65" s="52">
        <f t="shared" si="48"/>
        <v>1.4267352185089976</v>
      </c>
      <c r="H65" s="1">
        <v>1</v>
      </c>
      <c r="I65" s="1" t="s">
        <v>7</v>
      </c>
      <c r="J65" s="26">
        <f t="shared" si="49"/>
        <v>0.34113110539845781</v>
      </c>
      <c r="K65" s="27">
        <f t="shared" si="50"/>
        <v>18.949832904884332</v>
      </c>
    </row>
    <row r="66" spans="2:11" x14ac:dyDescent="0.3">
      <c r="B66" s="3">
        <v>62</v>
      </c>
      <c r="C66" s="79" t="s">
        <v>101</v>
      </c>
      <c r="D66" s="7">
        <v>1.3</v>
      </c>
      <c r="E66" s="80">
        <f t="shared" si="46"/>
        <v>0.76923076923076916</v>
      </c>
      <c r="F66" s="6">
        <f t="shared" si="47"/>
        <v>0.56923076923076921</v>
      </c>
      <c r="G66" s="52">
        <f t="shared" si="48"/>
        <v>1.7567567567567568</v>
      </c>
      <c r="H66" s="1">
        <v>1</v>
      </c>
      <c r="I66" s="1" t="s">
        <v>10</v>
      </c>
      <c r="J66" s="26">
        <f t="shared" si="49"/>
        <v>-1</v>
      </c>
      <c r="K66" s="27">
        <f t="shared" si="50"/>
        <v>-55.55</v>
      </c>
    </row>
    <row r="67" spans="2:11" x14ac:dyDescent="0.3">
      <c r="B67" s="3">
        <v>63</v>
      </c>
      <c r="C67" s="79" t="s">
        <v>102</v>
      </c>
      <c r="D67" s="7">
        <v>1.24</v>
      </c>
      <c r="E67" s="80">
        <f t="shared" si="46"/>
        <v>0.80645161290322587</v>
      </c>
      <c r="F67" s="6">
        <f t="shared" si="47"/>
        <v>0.6064516129032258</v>
      </c>
      <c r="G67" s="52">
        <f t="shared" si="48"/>
        <v>1.6489361702127661</v>
      </c>
      <c r="H67" s="1">
        <v>0</v>
      </c>
      <c r="I67" s="1" t="s">
        <v>7</v>
      </c>
      <c r="J67" s="26">
        <f t="shared" si="49"/>
        <v>0</v>
      </c>
      <c r="K67" s="27">
        <f t="shared" si="50"/>
        <v>0</v>
      </c>
    </row>
    <row r="68" spans="2:11" x14ac:dyDescent="0.3">
      <c r="B68" s="3">
        <v>64</v>
      </c>
      <c r="C68" s="79" t="s">
        <v>103</v>
      </c>
      <c r="D68" s="7">
        <v>1.78</v>
      </c>
      <c r="E68" s="80">
        <f t="shared" si="46"/>
        <v>0.5617977528089888</v>
      </c>
      <c r="F68" s="6">
        <f t="shared" si="47"/>
        <v>0.36179775280898879</v>
      </c>
      <c r="G68" s="52">
        <f t="shared" si="48"/>
        <v>2.7639751552795029</v>
      </c>
      <c r="H68" s="1">
        <v>1</v>
      </c>
      <c r="I68" s="1" t="s">
        <v>10</v>
      </c>
      <c r="J68" s="26">
        <f t="shared" si="49"/>
        <v>-1</v>
      </c>
      <c r="K68" s="27">
        <f t="shared" si="50"/>
        <v>-55.55</v>
      </c>
    </row>
    <row r="69" spans="2:11" x14ac:dyDescent="0.3">
      <c r="B69" s="3">
        <v>65</v>
      </c>
      <c r="C69" s="79" t="s">
        <v>51</v>
      </c>
      <c r="D69" s="7">
        <v>1.1100000000000001</v>
      </c>
      <c r="E69" s="80">
        <f t="shared" si="46"/>
        <v>0.9009009009009008</v>
      </c>
      <c r="F69" s="6">
        <f t="shared" si="47"/>
        <v>0.70090090090090085</v>
      </c>
      <c r="G69" s="52">
        <f t="shared" si="48"/>
        <v>1.4267352185089976</v>
      </c>
      <c r="H69" s="1">
        <v>1</v>
      </c>
      <c r="I69" s="1" t="s">
        <v>7</v>
      </c>
      <c r="J69" s="26">
        <f t="shared" si="49"/>
        <v>0.34113110539845781</v>
      </c>
      <c r="K69" s="27">
        <f t="shared" si="50"/>
        <v>18.949832904884332</v>
      </c>
    </row>
    <row r="70" spans="2:11" x14ac:dyDescent="0.3">
      <c r="B70" s="3">
        <v>66</v>
      </c>
      <c r="C70" s="79" t="s">
        <v>104</v>
      </c>
      <c r="D70" s="7">
        <v>1.0900000000000001</v>
      </c>
      <c r="E70" s="80">
        <f t="shared" si="46"/>
        <v>0.9174311926605504</v>
      </c>
      <c r="F70" s="6">
        <f t="shared" si="47"/>
        <v>0.71743119266055033</v>
      </c>
      <c r="G70" s="52">
        <f t="shared" si="48"/>
        <v>1.3938618925831205</v>
      </c>
      <c r="H70" s="1">
        <v>0</v>
      </c>
      <c r="I70" s="1" t="s">
        <v>7</v>
      </c>
      <c r="J70" s="26">
        <f t="shared" si="49"/>
        <v>0</v>
      </c>
      <c r="K70" s="27">
        <f t="shared" si="50"/>
        <v>0</v>
      </c>
    </row>
    <row r="71" spans="2:11" x14ac:dyDescent="0.3">
      <c r="B71" s="3">
        <v>67</v>
      </c>
      <c r="C71" s="79" t="s">
        <v>105</v>
      </c>
      <c r="D71" s="7">
        <v>1.29</v>
      </c>
      <c r="E71" s="80">
        <f t="shared" si="46"/>
        <v>0.77519379844961234</v>
      </c>
      <c r="F71" s="6">
        <f t="shared" si="47"/>
        <v>0.57519379844961227</v>
      </c>
      <c r="G71" s="52">
        <f t="shared" si="48"/>
        <v>1.7385444743935314</v>
      </c>
      <c r="H71" s="1">
        <v>0</v>
      </c>
      <c r="I71" s="1" t="s">
        <v>7</v>
      </c>
      <c r="J71" s="26">
        <f t="shared" si="49"/>
        <v>0</v>
      </c>
      <c r="K71" s="27">
        <f t="shared" si="50"/>
        <v>0</v>
      </c>
    </row>
    <row r="72" spans="2:11" x14ac:dyDescent="0.3">
      <c r="B72" s="3">
        <v>68</v>
      </c>
      <c r="C72" s="79" t="s">
        <v>76</v>
      </c>
      <c r="D72" s="7">
        <v>1.07</v>
      </c>
      <c r="E72" s="80">
        <f t="shared" si="46"/>
        <v>0.93457943925233644</v>
      </c>
      <c r="F72" s="6">
        <f t="shared" si="47"/>
        <v>0.73457943925233637</v>
      </c>
      <c r="G72" s="52">
        <f t="shared" si="48"/>
        <v>1.3613231552162852</v>
      </c>
      <c r="H72" s="1">
        <v>1</v>
      </c>
      <c r="I72" s="1" t="s">
        <v>7</v>
      </c>
      <c r="J72" s="26">
        <f t="shared" si="49"/>
        <v>0.27964376590330797</v>
      </c>
      <c r="K72" s="27">
        <f t="shared" si="50"/>
        <v>15.534211195928757</v>
      </c>
    </row>
    <row r="73" spans="2:11" x14ac:dyDescent="0.3">
      <c r="B73" s="3">
        <v>69</v>
      </c>
      <c r="C73" s="79" t="s">
        <v>58</v>
      </c>
      <c r="D73" s="7">
        <v>1.1100000000000001</v>
      </c>
      <c r="E73" s="80">
        <f t="shared" si="46"/>
        <v>0.9009009009009008</v>
      </c>
      <c r="F73" s="6">
        <f t="shared" si="47"/>
        <v>0.70090090090090085</v>
      </c>
      <c r="G73" s="52">
        <f t="shared" si="48"/>
        <v>1.4267352185089976</v>
      </c>
      <c r="H73" s="1">
        <v>0</v>
      </c>
      <c r="I73" s="1" t="s">
        <v>7</v>
      </c>
      <c r="J73" s="26">
        <f t="shared" si="49"/>
        <v>0</v>
      </c>
      <c r="K73" s="27">
        <f t="shared" si="50"/>
        <v>0</v>
      </c>
    </row>
    <row r="74" spans="2:11" x14ac:dyDescent="0.3">
      <c r="B74" s="3">
        <v>70</v>
      </c>
      <c r="C74" s="79" t="s">
        <v>106</v>
      </c>
      <c r="D74" s="7">
        <v>1.91</v>
      </c>
      <c r="E74" s="80">
        <f t="shared" si="46"/>
        <v>0.52356020942408377</v>
      </c>
      <c r="F74" s="6">
        <f t="shared" si="47"/>
        <v>0.32356020942408376</v>
      </c>
      <c r="G74" s="52">
        <v>3.1</v>
      </c>
      <c r="H74" s="1">
        <v>1</v>
      </c>
      <c r="I74" s="1" t="s">
        <v>7</v>
      </c>
      <c r="J74" s="26">
        <f t="shared" ref="J74:J94" si="51">IF(H74=0,0,IF(I74="WON",(G74*0.94-1),-1))</f>
        <v>1.9139999999999997</v>
      </c>
      <c r="K74" s="27">
        <f t="shared" ref="K74:K94" si="52">J74*J$3</f>
        <v>106.32269999999998</v>
      </c>
    </row>
    <row r="75" spans="2:11" x14ac:dyDescent="0.3">
      <c r="B75" s="3">
        <v>71</v>
      </c>
      <c r="C75" s="79" t="s">
        <v>107</v>
      </c>
      <c r="D75" s="7">
        <v>1.32</v>
      </c>
      <c r="E75" s="80">
        <f t="shared" si="46"/>
        <v>0.75757575757575757</v>
      </c>
      <c r="F75" s="6">
        <f t="shared" si="47"/>
        <v>0.55757575757575761</v>
      </c>
      <c r="G75" s="52">
        <f>1/F75</f>
        <v>1.7934782608695652</v>
      </c>
      <c r="H75" s="1">
        <v>1</v>
      </c>
      <c r="I75" s="1" t="s">
        <v>10</v>
      </c>
      <c r="J75" s="26">
        <f t="shared" si="51"/>
        <v>-1</v>
      </c>
      <c r="K75" s="27">
        <f t="shared" si="52"/>
        <v>-55.55</v>
      </c>
    </row>
    <row r="76" spans="2:11" x14ac:dyDescent="0.3">
      <c r="B76" s="3">
        <v>72</v>
      </c>
      <c r="C76" s="79" t="s">
        <v>108</v>
      </c>
      <c r="D76" s="7">
        <v>1.06</v>
      </c>
      <c r="E76" s="80">
        <f t="shared" si="46"/>
        <v>0.94339622641509424</v>
      </c>
      <c r="F76" s="6">
        <f t="shared" si="47"/>
        <v>0.74339622641509417</v>
      </c>
      <c r="G76" s="52">
        <f>1/F76</f>
        <v>1.3451776649746197</v>
      </c>
      <c r="H76" s="1">
        <v>1</v>
      </c>
      <c r="I76" s="1" t="s">
        <v>10</v>
      </c>
      <c r="J76" s="26">
        <f t="shared" si="51"/>
        <v>-1</v>
      </c>
      <c r="K76" s="27">
        <f t="shared" si="52"/>
        <v>-55.55</v>
      </c>
    </row>
    <row r="77" spans="2:11" x14ac:dyDescent="0.3">
      <c r="B77" s="3">
        <v>73</v>
      </c>
      <c r="C77" s="79" t="s">
        <v>109</v>
      </c>
      <c r="D77" s="7">
        <v>1.06</v>
      </c>
      <c r="E77" s="80">
        <f t="shared" si="46"/>
        <v>0.94339622641509424</v>
      </c>
      <c r="F77" s="6">
        <f t="shared" si="47"/>
        <v>0.74339622641509417</v>
      </c>
      <c r="G77" s="52">
        <f>1/F77</f>
        <v>1.3451776649746197</v>
      </c>
      <c r="H77" s="1">
        <v>0</v>
      </c>
      <c r="I77" s="1" t="s">
        <v>7</v>
      </c>
      <c r="J77" s="26">
        <f t="shared" si="51"/>
        <v>0</v>
      </c>
      <c r="K77" s="27">
        <f t="shared" si="52"/>
        <v>0</v>
      </c>
    </row>
    <row r="78" spans="2:11" x14ac:dyDescent="0.3">
      <c r="B78" s="3">
        <v>74</v>
      </c>
      <c r="C78" s="79" t="s">
        <v>110</v>
      </c>
      <c r="D78" s="7">
        <v>1.66</v>
      </c>
      <c r="E78" s="80">
        <f t="shared" si="46"/>
        <v>0.60240963855421692</v>
      </c>
      <c r="F78" s="6">
        <f t="shared" si="47"/>
        <v>0.40240963855421691</v>
      </c>
      <c r="G78" s="52">
        <v>2.5</v>
      </c>
      <c r="H78" s="1">
        <v>1</v>
      </c>
      <c r="I78" s="1" t="s">
        <v>10</v>
      </c>
      <c r="J78" s="26">
        <f t="shared" si="51"/>
        <v>-1</v>
      </c>
      <c r="K78" s="27">
        <f t="shared" si="52"/>
        <v>-55.55</v>
      </c>
    </row>
    <row r="79" spans="2:11" x14ac:dyDescent="0.3">
      <c r="B79" s="3">
        <v>75</v>
      </c>
      <c r="C79" s="79" t="s">
        <v>86</v>
      </c>
      <c r="D79" s="7">
        <v>1.28</v>
      </c>
      <c r="E79" s="80">
        <f t="shared" si="46"/>
        <v>0.78125</v>
      </c>
      <c r="F79" s="6">
        <f t="shared" si="47"/>
        <v>0.58125000000000004</v>
      </c>
      <c r="G79" s="52">
        <f t="shared" ref="G79:G94" si="53">1/F79</f>
        <v>1.7204301075268815</v>
      </c>
      <c r="H79" s="1">
        <v>1</v>
      </c>
      <c r="I79" s="1" t="s">
        <v>10</v>
      </c>
      <c r="J79" s="26">
        <f t="shared" si="51"/>
        <v>-1</v>
      </c>
      <c r="K79" s="27">
        <f t="shared" si="52"/>
        <v>-55.55</v>
      </c>
    </row>
    <row r="80" spans="2:11" x14ac:dyDescent="0.3">
      <c r="B80" s="3">
        <v>76</v>
      </c>
      <c r="C80" s="79" t="s">
        <v>53</v>
      </c>
      <c r="D80" s="7">
        <v>1.1499999999999999</v>
      </c>
      <c r="E80" s="80">
        <f t="shared" si="46"/>
        <v>0.86956521739130443</v>
      </c>
      <c r="F80" s="6">
        <f t="shared" si="47"/>
        <v>0.66956521739130448</v>
      </c>
      <c r="G80" s="52">
        <f t="shared" si="53"/>
        <v>1.4935064935064932</v>
      </c>
      <c r="H80" s="1">
        <v>0</v>
      </c>
      <c r="I80" s="1" t="s">
        <v>7</v>
      </c>
      <c r="J80" s="26">
        <f t="shared" si="51"/>
        <v>0</v>
      </c>
      <c r="K80" s="27">
        <f t="shared" si="52"/>
        <v>0</v>
      </c>
    </row>
    <row r="81" spans="2:11" x14ac:dyDescent="0.3">
      <c r="B81" s="3">
        <v>77</v>
      </c>
      <c r="C81" s="79" t="s">
        <v>111</v>
      </c>
      <c r="D81" s="7">
        <v>1.27</v>
      </c>
      <c r="E81" s="80">
        <f t="shared" si="46"/>
        <v>0.78740157480314954</v>
      </c>
      <c r="F81" s="6">
        <f t="shared" si="47"/>
        <v>0.58740157480314958</v>
      </c>
      <c r="G81" s="52">
        <f t="shared" si="53"/>
        <v>1.7024128686327078</v>
      </c>
      <c r="H81" s="1">
        <v>0</v>
      </c>
      <c r="I81" s="1" t="s">
        <v>7</v>
      </c>
      <c r="J81" s="26">
        <f t="shared" si="51"/>
        <v>0</v>
      </c>
      <c r="K81" s="27">
        <f t="shared" si="52"/>
        <v>0</v>
      </c>
    </row>
    <row r="82" spans="2:11" x14ac:dyDescent="0.3">
      <c r="B82" s="3">
        <v>78</v>
      </c>
      <c r="C82" s="79" t="s">
        <v>112</v>
      </c>
      <c r="D82" s="7">
        <v>1.51</v>
      </c>
      <c r="E82" s="80">
        <f t="shared" si="46"/>
        <v>0.66225165562913912</v>
      </c>
      <c r="F82" s="6">
        <f t="shared" si="47"/>
        <v>0.46225165562913911</v>
      </c>
      <c r="G82" s="52">
        <f t="shared" si="53"/>
        <v>2.1633237822349569</v>
      </c>
      <c r="H82" s="1">
        <v>0</v>
      </c>
      <c r="I82" s="1" t="s">
        <v>7</v>
      </c>
      <c r="J82" s="26">
        <f t="shared" si="51"/>
        <v>0</v>
      </c>
      <c r="K82" s="27">
        <f t="shared" si="52"/>
        <v>0</v>
      </c>
    </row>
    <row r="83" spans="2:11" x14ac:dyDescent="0.3">
      <c r="B83" s="3">
        <v>79</v>
      </c>
      <c r="C83" s="79" t="s">
        <v>113</v>
      </c>
      <c r="D83" s="7">
        <v>1.34</v>
      </c>
      <c r="E83" s="80">
        <f t="shared" si="46"/>
        <v>0.74626865671641784</v>
      </c>
      <c r="F83" s="6">
        <f t="shared" si="47"/>
        <v>0.54626865671641789</v>
      </c>
      <c r="G83" s="52">
        <f t="shared" si="53"/>
        <v>1.8306010928961749</v>
      </c>
      <c r="H83" s="1">
        <v>1</v>
      </c>
      <c r="I83" s="1" t="s">
        <v>7</v>
      </c>
      <c r="J83" s="26">
        <f t="shared" si="51"/>
        <v>0.72076502732240422</v>
      </c>
      <c r="K83" s="27">
        <f t="shared" si="52"/>
        <v>40.038497267759553</v>
      </c>
    </row>
    <row r="84" spans="2:11" x14ac:dyDescent="0.3">
      <c r="B84" s="3">
        <v>80</v>
      </c>
      <c r="C84" s="79" t="s">
        <v>114</v>
      </c>
      <c r="D84" s="7">
        <v>1.0900000000000001</v>
      </c>
      <c r="E84" s="80">
        <f t="shared" si="46"/>
        <v>0.9174311926605504</v>
      </c>
      <c r="F84" s="6">
        <f t="shared" si="47"/>
        <v>0.71743119266055033</v>
      </c>
      <c r="G84" s="52">
        <f t="shared" si="53"/>
        <v>1.3938618925831205</v>
      </c>
      <c r="H84" s="1">
        <v>0</v>
      </c>
      <c r="I84" s="1"/>
      <c r="J84" s="26">
        <f t="shared" si="51"/>
        <v>0</v>
      </c>
      <c r="K84" s="27">
        <f t="shared" si="52"/>
        <v>0</v>
      </c>
    </row>
    <row r="85" spans="2:11" x14ac:dyDescent="0.3">
      <c r="B85" s="3">
        <v>81</v>
      </c>
      <c r="C85" s="79" t="s">
        <v>115</v>
      </c>
      <c r="D85" s="7">
        <v>1.75</v>
      </c>
      <c r="E85" s="80">
        <f t="shared" si="46"/>
        <v>0.5714285714285714</v>
      </c>
      <c r="F85" s="6">
        <f t="shared" si="47"/>
        <v>0.37142857142857139</v>
      </c>
      <c r="G85" s="52">
        <v>2.7</v>
      </c>
      <c r="H85" s="1">
        <v>0</v>
      </c>
      <c r="J85" s="26">
        <f t="shared" si="51"/>
        <v>0</v>
      </c>
      <c r="K85" s="27">
        <f t="shared" si="52"/>
        <v>0</v>
      </c>
    </row>
    <row r="86" spans="2:11" x14ac:dyDescent="0.3">
      <c r="B86" s="3">
        <v>82</v>
      </c>
      <c r="C86" s="79" t="s">
        <v>116</v>
      </c>
      <c r="D86" s="7">
        <v>1.4</v>
      </c>
      <c r="E86" s="80">
        <f t="shared" si="46"/>
        <v>0.7142857142857143</v>
      </c>
      <c r="F86" s="6">
        <f t="shared" si="47"/>
        <v>0.51428571428571423</v>
      </c>
      <c r="G86" s="52">
        <f t="shared" si="53"/>
        <v>1.9444444444444446</v>
      </c>
      <c r="H86" s="1">
        <v>0</v>
      </c>
      <c r="J86" s="26">
        <f t="shared" si="51"/>
        <v>0</v>
      </c>
      <c r="K86" s="27">
        <f t="shared" si="52"/>
        <v>0</v>
      </c>
    </row>
    <row r="87" spans="2:11" x14ac:dyDescent="0.3">
      <c r="B87" s="3">
        <v>83</v>
      </c>
      <c r="C87" s="79" t="s">
        <v>117</v>
      </c>
      <c r="D87" s="7">
        <v>1.05</v>
      </c>
      <c r="E87" s="80">
        <f t="shared" si="46"/>
        <v>0.95238095238095233</v>
      </c>
      <c r="F87" s="6">
        <f t="shared" si="47"/>
        <v>0.75238095238095237</v>
      </c>
      <c r="G87" s="52">
        <f t="shared" si="53"/>
        <v>1.3291139240506329</v>
      </c>
      <c r="H87" s="1">
        <v>0</v>
      </c>
      <c r="J87" s="26">
        <f t="shared" si="51"/>
        <v>0</v>
      </c>
      <c r="K87" s="27">
        <f t="shared" si="52"/>
        <v>0</v>
      </c>
    </row>
    <row r="88" spans="2:11" x14ac:dyDescent="0.3">
      <c r="B88" s="3">
        <v>84</v>
      </c>
      <c r="C88" s="79" t="s">
        <v>118</v>
      </c>
      <c r="D88" s="7">
        <v>1.65</v>
      </c>
      <c r="E88" s="80">
        <f t="shared" si="46"/>
        <v>0.60606060606060608</v>
      </c>
      <c r="F88" s="6">
        <f t="shared" si="47"/>
        <v>0.40606060606060607</v>
      </c>
      <c r="G88" s="52">
        <f t="shared" si="53"/>
        <v>2.4626865671641789</v>
      </c>
      <c r="H88" s="1">
        <v>0</v>
      </c>
      <c r="J88" s="26">
        <f t="shared" si="51"/>
        <v>0</v>
      </c>
      <c r="K88" s="27">
        <f t="shared" si="52"/>
        <v>0</v>
      </c>
    </row>
    <row r="89" spans="2:11" x14ac:dyDescent="0.3">
      <c r="B89" s="3">
        <v>85</v>
      </c>
      <c r="C89" s="79" t="s">
        <v>88</v>
      </c>
      <c r="D89" s="7">
        <v>1.1399999999999999</v>
      </c>
      <c r="E89" s="80">
        <f t="shared" si="46"/>
        <v>0.87719298245614041</v>
      </c>
      <c r="F89" s="6">
        <f t="shared" si="47"/>
        <v>0.67719298245614046</v>
      </c>
      <c r="G89" s="52">
        <f t="shared" si="53"/>
        <v>1.4766839378238339</v>
      </c>
      <c r="H89" s="1">
        <v>0</v>
      </c>
      <c r="J89" s="26">
        <f t="shared" si="51"/>
        <v>0</v>
      </c>
      <c r="K89" s="27">
        <f t="shared" si="52"/>
        <v>0</v>
      </c>
    </row>
    <row r="90" spans="2:11" x14ac:dyDescent="0.3">
      <c r="B90" s="3">
        <v>86</v>
      </c>
      <c r="C90" s="79" t="s">
        <v>119</v>
      </c>
      <c r="D90" s="7">
        <v>1.96</v>
      </c>
      <c r="E90" s="80">
        <f t="shared" si="46"/>
        <v>0.51020408163265307</v>
      </c>
      <c r="F90" s="6">
        <f t="shared" si="47"/>
        <v>0.31020408163265306</v>
      </c>
      <c r="G90" s="52">
        <v>3.25</v>
      </c>
      <c r="H90" s="1">
        <v>0</v>
      </c>
      <c r="J90" s="26">
        <f t="shared" si="51"/>
        <v>0</v>
      </c>
      <c r="K90" s="27">
        <f t="shared" si="52"/>
        <v>0</v>
      </c>
    </row>
    <row r="91" spans="2:11" x14ac:dyDescent="0.3">
      <c r="B91" s="3">
        <v>87</v>
      </c>
      <c r="C91" s="79" t="s">
        <v>120</v>
      </c>
      <c r="D91" s="7">
        <v>1.56</v>
      </c>
      <c r="E91" s="80">
        <f t="shared" si="46"/>
        <v>0.64102564102564097</v>
      </c>
      <c r="F91" s="6">
        <f t="shared" si="47"/>
        <v>0.44102564102564096</v>
      </c>
      <c r="G91" s="52">
        <v>2.2799999999999998</v>
      </c>
      <c r="H91" s="1">
        <v>0</v>
      </c>
      <c r="J91" s="26">
        <f t="shared" si="51"/>
        <v>0</v>
      </c>
      <c r="K91" s="27">
        <f t="shared" si="52"/>
        <v>0</v>
      </c>
    </row>
    <row r="92" spans="2:11" x14ac:dyDescent="0.3">
      <c r="B92" s="3">
        <v>88</v>
      </c>
      <c r="C92" s="79" t="s">
        <v>41</v>
      </c>
      <c r="D92" s="7">
        <v>1.07</v>
      </c>
      <c r="E92" s="80">
        <f t="shared" si="46"/>
        <v>0.93457943925233644</v>
      </c>
      <c r="F92" s="6">
        <f t="shared" si="47"/>
        <v>0.73457943925233637</v>
      </c>
      <c r="G92" s="52">
        <f t="shared" si="53"/>
        <v>1.3613231552162852</v>
      </c>
      <c r="H92" s="1">
        <v>0</v>
      </c>
      <c r="J92" s="26">
        <f t="shared" si="51"/>
        <v>0</v>
      </c>
      <c r="K92" s="27">
        <f t="shared" si="52"/>
        <v>0</v>
      </c>
    </row>
    <row r="93" spans="2:11" x14ac:dyDescent="0.3">
      <c r="B93" s="3">
        <v>89</v>
      </c>
      <c r="C93" s="79" t="s">
        <v>121</v>
      </c>
      <c r="D93" s="7">
        <v>1.25</v>
      </c>
      <c r="E93" s="80">
        <f t="shared" si="46"/>
        <v>0.8</v>
      </c>
      <c r="F93" s="6">
        <f t="shared" si="47"/>
        <v>0.60000000000000009</v>
      </c>
      <c r="G93" s="52">
        <f t="shared" si="53"/>
        <v>1.6666666666666665</v>
      </c>
      <c r="H93" s="1">
        <v>0</v>
      </c>
      <c r="J93" s="26">
        <f t="shared" si="51"/>
        <v>0</v>
      </c>
      <c r="K93" s="27">
        <f t="shared" si="52"/>
        <v>0</v>
      </c>
    </row>
    <row r="94" spans="2:11" x14ac:dyDescent="0.3">
      <c r="B94" s="3">
        <v>90</v>
      </c>
      <c r="C94" s="79" t="s">
        <v>122</v>
      </c>
      <c r="D94" s="7">
        <v>1.71</v>
      </c>
      <c r="E94" s="80">
        <f t="shared" si="46"/>
        <v>0.58479532163742687</v>
      </c>
      <c r="F94" s="6">
        <f t="shared" si="47"/>
        <v>0.38479532163742686</v>
      </c>
      <c r="G94" s="52">
        <f t="shared" si="53"/>
        <v>2.5987841945288759</v>
      </c>
      <c r="H94" s="1">
        <v>0</v>
      </c>
      <c r="J94" s="26">
        <f t="shared" si="51"/>
        <v>0</v>
      </c>
      <c r="K94" s="27">
        <f t="shared" si="52"/>
        <v>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B24" sqref="B24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2026-05-27T12:46:40Z</dcterms:modified>
</cp:coreProperties>
</file>