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642CA5FB-E66B-4CCE-92D0-AB452FF17141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6" i="2" l="1"/>
  <c r="K106" i="2" s="1"/>
  <c r="J107" i="2"/>
  <c r="K107" i="2" s="1"/>
  <c r="J108" i="2"/>
  <c r="K108" i="2" s="1"/>
  <c r="J109" i="2"/>
  <c r="K109" i="2"/>
  <c r="E109" i="2"/>
  <c r="F109" i="2" s="1"/>
  <c r="E106" i="2"/>
  <c r="F106" i="2" s="1"/>
  <c r="G106" i="2" s="1"/>
  <c r="E107" i="2"/>
  <c r="F107" i="2" s="1"/>
  <c r="E108" i="2"/>
  <c r="F108" i="2" s="1"/>
  <c r="J103" i="2"/>
  <c r="K103" i="2"/>
  <c r="J104" i="2"/>
  <c r="K104" i="2"/>
  <c r="J105" i="2"/>
  <c r="K105" i="2" s="1"/>
  <c r="F105" i="2"/>
  <c r="E105" i="2"/>
  <c r="F104" i="2"/>
  <c r="E104" i="2"/>
  <c r="F103" i="2"/>
  <c r="G103" i="2" s="1"/>
  <c r="E103" i="2"/>
  <c r="G80" i="1"/>
  <c r="G81" i="1"/>
  <c r="E80" i="1"/>
  <c r="F80" i="1" s="1"/>
  <c r="E81" i="1"/>
  <c r="F81" i="1"/>
  <c r="E79" i="1"/>
  <c r="F79" i="1" s="1"/>
  <c r="E78" i="1"/>
  <c r="F78" i="1" s="1"/>
  <c r="G77" i="1"/>
  <c r="E77" i="1"/>
  <c r="F77" i="1" s="1"/>
  <c r="J95" i="2"/>
  <c r="K95" i="2"/>
  <c r="J96" i="2"/>
  <c r="K96" i="2" s="1"/>
  <c r="J98" i="2"/>
  <c r="K98" i="2" s="1"/>
  <c r="J99" i="2"/>
  <c r="K99" i="2" s="1"/>
  <c r="J100" i="2"/>
  <c r="K100" i="2" s="1"/>
  <c r="J101" i="2"/>
  <c r="K101" i="2" s="1"/>
  <c r="G95" i="2"/>
  <c r="G96" i="2"/>
  <c r="G98" i="2"/>
  <c r="E101" i="2"/>
  <c r="F101" i="2" s="1"/>
  <c r="E100" i="2"/>
  <c r="F100" i="2"/>
  <c r="E99" i="2"/>
  <c r="F99" i="2" s="1"/>
  <c r="G99" i="2" s="1"/>
  <c r="E98" i="2"/>
  <c r="F98" i="2"/>
  <c r="E97" i="2"/>
  <c r="F97" i="2" s="1"/>
  <c r="G97" i="2" s="1"/>
  <c r="J97" i="2" s="1"/>
  <c r="K97" i="2" s="1"/>
  <c r="E96" i="2"/>
  <c r="F96" i="2" s="1"/>
  <c r="E95" i="2"/>
  <c r="F95" i="2" s="1"/>
  <c r="G76" i="1"/>
  <c r="E76" i="1"/>
  <c r="F76" i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G75" i="1"/>
  <c r="E75" i="1"/>
  <c r="F75" i="1"/>
  <c r="J94" i="2"/>
  <c r="K94" i="2" s="1"/>
  <c r="J92" i="2"/>
  <c r="K92" i="2" s="1"/>
  <c r="J91" i="2"/>
  <c r="K91" i="2" s="1"/>
  <c r="J90" i="2"/>
  <c r="K90" i="2" s="1"/>
  <c r="J89" i="2"/>
  <c r="K89" i="2" s="1"/>
  <c r="J88" i="2"/>
  <c r="K88" i="2"/>
  <c r="J86" i="2"/>
  <c r="K86" i="2" s="1"/>
  <c r="J85" i="2"/>
  <c r="K85" i="2" s="1"/>
  <c r="E94" i="2"/>
  <c r="F94" i="2"/>
  <c r="G94" i="2"/>
  <c r="E93" i="2"/>
  <c r="F93" i="2"/>
  <c r="G93" i="2" s="1"/>
  <c r="J93" i="2" s="1"/>
  <c r="K93" i="2" s="1"/>
  <c r="E92" i="2"/>
  <c r="F92" i="2" s="1"/>
  <c r="G92" i="2" s="1"/>
  <c r="E91" i="2"/>
  <c r="F91" i="2" s="1"/>
  <c r="E90" i="2"/>
  <c r="F90" i="2" s="1"/>
  <c r="E89" i="2"/>
  <c r="F89" i="2"/>
  <c r="G89" i="2"/>
  <c r="E88" i="2"/>
  <c r="F88" i="2" s="1"/>
  <c r="G88" i="2" s="1"/>
  <c r="E87" i="2"/>
  <c r="F87" i="2"/>
  <c r="G87" i="2" s="1"/>
  <c r="J87" i="2" s="1"/>
  <c r="K87" i="2" s="1"/>
  <c r="E86" i="2"/>
  <c r="F86" i="2" s="1"/>
  <c r="G86" i="2" s="1"/>
  <c r="E85" i="2"/>
  <c r="F85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/>
  <c r="J83" i="2"/>
  <c r="K83" i="2" s="1"/>
  <c r="J84" i="2"/>
  <c r="K84" i="2" s="1"/>
  <c r="E84" i="2"/>
  <c r="F84" i="2" s="1"/>
  <c r="G84" i="2" s="1"/>
  <c r="E83" i="2"/>
  <c r="F83" i="2"/>
  <c r="G83" i="2"/>
  <c r="E82" i="2"/>
  <c r="F82" i="2"/>
  <c r="G82" i="2" s="1"/>
  <c r="E81" i="2"/>
  <c r="F81" i="2" s="1"/>
  <c r="G81" i="2" s="1"/>
  <c r="E80" i="2"/>
  <c r="F80" i="2"/>
  <c r="G80" i="2" s="1"/>
  <c r="E79" i="2"/>
  <c r="F79" i="2" s="1"/>
  <c r="G79" i="2" s="1"/>
  <c r="E78" i="2"/>
  <c r="F78" i="2"/>
  <c r="E77" i="2"/>
  <c r="F77" i="2"/>
  <c r="G77" i="2" s="1"/>
  <c r="E76" i="2"/>
  <c r="F76" i="2"/>
  <c r="G76" i="2"/>
  <c r="E75" i="2"/>
  <c r="F75" i="2" s="1"/>
  <c r="G75" i="2" s="1"/>
  <c r="E74" i="2"/>
  <c r="F74" i="2"/>
  <c r="J73" i="2"/>
  <c r="K73" i="2" s="1"/>
  <c r="J71" i="2"/>
  <c r="K71" i="2" s="1"/>
  <c r="E73" i="2"/>
  <c r="F73" i="2"/>
  <c r="G73" i="2" s="1"/>
  <c r="E72" i="2"/>
  <c r="F72" i="2" s="1"/>
  <c r="G72" i="2" s="1"/>
  <c r="J72" i="2" s="1"/>
  <c r="K72" i="2" s="1"/>
  <c r="E71" i="2"/>
  <c r="F71" i="2" s="1"/>
  <c r="G71" i="2" s="1"/>
  <c r="J70" i="2"/>
  <c r="K70" i="2" s="1"/>
  <c r="J68" i="2"/>
  <c r="K68" i="2" s="1"/>
  <c r="J67" i="2"/>
  <c r="K67" i="2" s="1"/>
  <c r="E70" i="2"/>
  <c r="F70" i="2" s="1"/>
  <c r="G70" i="2" s="1"/>
  <c r="E69" i="2"/>
  <c r="F69" i="2" s="1"/>
  <c r="G69" i="2" s="1"/>
  <c r="J69" i="2" s="1"/>
  <c r="K69" i="2" s="1"/>
  <c r="E68" i="2"/>
  <c r="F68" i="2" s="1"/>
  <c r="G68" i="2" s="1"/>
  <c r="E67" i="2"/>
  <c r="F67" i="2" s="1"/>
  <c r="G67" i="2" s="1"/>
  <c r="E62" i="2"/>
  <c r="F62" i="2" s="1"/>
  <c r="G62" i="2" s="1"/>
  <c r="J62" i="2"/>
  <c r="K62" i="2" s="1"/>
  <c r="E63" i="2"/>
  <c r="F63" i="2" s="1"/>
  <c r="G63" i="2" s="1"/>
  <c r="J63" i="2"/>
  <c r="K63" i="2" s="1"/>
  <c r="E64" i="2"/>
  <c r="F64" i="2" s="1"/>
  <c r="J64" i="2"/>
  <c r="K64" i="2" s="1"/>
  <c r="E65" i="2"/>
  <c r="F65" i="2" s="1"/>
  <c r="G65" i="2" s="1"/>
  <c r="J65" i="2"/>
  <c r="K65" i="2" s="1"/>
  <c r="E66" i="2"/>
  <c r="F66" i="2" s="1"/>
  <c r="G66" i="2" s="1"/>
  <c r="J66" i="2"/>
  <c r="K66" i="2" s="1"/>
  <c r="E61" i="2"/>
  <c r="F61" i="2" s="1"/>
  <c r="G61" i="2" s="1"/>
  <c r="E60" i="2"/>
  <c r="F60" i="2"/>
  <c r="G60" i="2" s="1"/>
  <c r="E59" i="2"/>
  <c r="F59" i="2" s="1"/>
  <c r="E58" i="2"/>
  <c r="F58" i="2" s="1"/>
  <c r="G58" i="2" s="1"/>
  <c r="J58" i="2" s="1"/>
  <c r="K58" i="2" s="1"/>
  <c r="E57" i="2"/>
  <c r="F57" i="2" s="1"/>
  <c r="G57" i="2" s="1"/>
  <c r="E56" i="2"/>
  <c r="F56" i="2" s="1"/>
  <c r="E55" i="2"/>
  <c r="F55" i="2"/>
  <c r="G55" i="2" s="1"/>
  <c r="E54" i="2"/>
  <c r="F54" i="2" s="1"/>
  <c r="G54" i="2" s="1"/>
  <c r="E53" i="2"/>
  <c r="F53" i="2" s="1"/>
  <c r="G53" i="2" s="1"/>
  <c r="J53" i="2" s="1"/>
  <c r="K53" i="2" s="1"/>
  <c r="J54" i="2"/>
  <c r="K54" i="2" s="1"/>
  <c r="J55" i="2"/>
  <c r="K55" i="2" s="1"/>
  <c r="J56" i="2"/>
  <c r="K56" i="2" s="1"/>
  <c r="J57" i="2"/>
  <c r="K57" i="2" s="1"/>
  <c r="J59" i="2"/>
  <c r="K59" i="2" s="1"/>
  <c r="J60" i="2"/>
  <c r="K60" i="2" s="1"/>
  <c r="J61" i="2"/>
  <c r="K61" i="2" s="1"/>
  <c r="E52" i="2"/>
  <c r="F52" i="2" s="1"/>
  <c r="G52" i="2" s="1"/>
  <c r="J52" i="2" s="1"/>
  <c r="K52" i="2" s="1"/>
  <c r="E51" i="2"/>
  <c r="F51" i="2" s="1"/>
  <c r="G51" i="2" s="1"/>
  <c r="J51" i="2" s="1"/>
  <c r="K51" i="2" s="1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 s="1"/>
  <c r="G28" i="2" s="1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 s="1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<sst xmlns="http://schemas.openxmlformats.org/spreadsheetml/2006/main" count="400" uniqueCount="132">
  <si>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</si>
  <si>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</si>
  <si>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</si>
  <si>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</si>
  <si>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</si>
  <si>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</si>
  <si>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</si>
  <si>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</si>
  <si>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</si>
  <si>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</si>
  <si>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</si>
  <si>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</si>
  <si>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</si>
  <si>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</si>
  <si>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</si>
  <si>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</si>
  <si>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</si>
  <si>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</si>
  <si>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</si>
  <si>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</si>
  <si>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</si>
  <si>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</si>
  <si>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</si>
  <si>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</si>
  <si>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</si>
  <si>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</si>
  <si>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</si>
  <si>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</si>
  <si>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</si>
  <si>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</si>
  <si>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</si>
  <si>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</si>
  <si>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</si>
  <si>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</si>
  <si>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</si>
  <si>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</si>
  <si>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</si>
  <si>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</si>
  <si>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</si>
  <si>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</si>
  <si>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</si>
  <si>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</si>
  <si>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</si>
  <si>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</si>
  <si>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</si>
  <si>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</si>
  <si>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</si>
  <si>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</si>
  <si>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</si>
  <si>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</si>
  <si>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</si>
  <si>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</si>
  <si>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</si>
  <si>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</si>
  <si>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</si>
  <si>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</si>
  <si>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</si>
  <si>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</si>
  <si>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</si>
  <si>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</si>
  <si>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</si>
  <si>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</si>
  <si>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</si>
  <si>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</si>
  <si>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</si>
  <si>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</si>
  <si>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</si>
  <si>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</si>
  <si>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</si>
  <si>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</si>
  <si>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</si>
  <si>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</si>
  <si>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</si>
  <si>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</si>
  <si>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</si>
  <si>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</si>
  <si>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</si>
  <si>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</si>
  <si>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</si>
  <si>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</si>
  <si>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</si>
  <si>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</si>
  <si>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</si>
  <si>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</si>
  <si>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</si>
  <si>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</si>
  <si>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</si>
  <si>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</si>
  <si>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</si>
  <si>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</si>
  <si>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</si>
  <si>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</si>
  <si>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</si>
  <si>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</si>
  <si>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</si>
  <si>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</si>
  <si>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</si>
  <si>
    <t>Hurkacz</t>
  </si>
  <si>
    <t>Nakashima</t>
  </si>
  <si>
    <t>De Jong</t>
  </si>
  <si>
    <t>Tiafoe</t>
  </si>
  <si>
    <t>Atmane</t>
  </si>
  <si>
    <t>Ostapenko</t>
  </si>
  <si>
    <t>Udvardy</t>
  </si>
  <si>
    <t>Anisimova</t>
  </si>
  <si>
    <t>Shelton</t>
  </si>
  <si>
    <t>Tirante</t>
  </si>
  <si>
    <t>Cilic</t>
  </si>
  <si>
    <t>Medvedev</t>
  </si>
  <si>
    <t>Sabalenka</t>
  </si>
  <si>
    <t>Moutet</t>
  </si>
  <si>
    <t>Cerundolo</t>
  </si>
  <si>
    <t>Olinykova</t>
  </si>
  <si>
    <t>Auger-Aliassime</t>
  </si>
  <si>
    <t>Rybakina</t>
  </si>
  <si>
    <t>Humbert</t>
  </si>
  <si>
    <t>Carreno Busta</t>
  </si>
  <si>
    <t>Jodar</t>
  </si>
  <si>
    <t>Kecmanovic</t>
  </si>
  <si>
    <t>Prizmic</t>
  </si>
  <si>
    <t>Michelsen</t>
  </si>
  <si>
    <t>Cirstea</t>
  </si>
  <si>
    <t>Frech</t>
  </si>
  <si>
    <t>Darderi</t>
  </si>
  <si>
    <t>Tsitsipas</t>
  </si>
  <si>
    <t>Eagles</t>
  </si>
  <si>
    <t>Regime change</t>
  </si>
  <si>
    <t xml:space="preserve">Min </t>
  </si>
  <si>
    <t>Min</t>
  </si>
  <si>
    <t>Svitolina</t>
  </si>
  <si>
    <t>Berrettini</t>
  </si>
  <si>
    <t>Chwalinska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</si>
</sst>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9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9" fontId="0" fillId="11" borderId="3" xfId="1" applyFont="1" applyFill="1" applyBorder="1" applyAlignment="1">
      <alignment horizontal="center"/>
    </xf>
    <xf numFmtId="9" fontId="0" fillId="11" borderId="4" xfId="0" applyNumberFormat="1" applyFill="1" applyBorder="1" applyAlignment="1">
      <alignment horizontal="center"/>
    </xf>
    <xf numFmtId="0" fontId="0" fillId="11" borderId="0" xfId="0" applyFill="1" applyAlignment="1">
      <alignment horizontal="center"/>
    </xf>
    <xf numFmtId="2" fontId="3" fillId="11" borderId="3" xfId="0" applyNumberFormat="1" applyFont="1" applyFill="1" applyBorder="1" applyAlignment="1">
      <alignment horizontal="center"/>
    </xf>
    <xf numFmtId="2" fontId="3" fillId="11" borderId="4" xfId="0" applyNumberFormat="1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82"/>
  <sheetViews>
    <sheetView zoomScale="124" workbookViewId="0">
      <pane ySplit="4" topLeftCell="A67" activePane="bottomLeft" state="frozen"/>
      <selection pane="bottomLeft" activeCell="N73" sqref="N73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9" si="27">1/D66</f>
        <v>0.61728395061728392</v>
      </c>
      <c r="F66" s="58">
        <f t="shared" ref="F66:F79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4">
        <v>70</v>
      </c>
      <c r="C74" s="88" t="s">
        <v>33</v>
      </c>
      <c r="D74" s="1">
        <v>1.88</v>
      </c>
      <c r="E74" s="41">
        <f t="shared" si="27"/>
        <v>0.53191489361702127</v>
      </c>
      <c r="F74" s="54">
        <f t="shared" si="28"/>
        <v>0.33191489361702126</v>
      </c>
      <c r="G74" s="86">
        <v>3.05</v>
      </c>
      <c r="H74" s="51">
        <v>1</v>
      </c>
      <c r="I74" s="51" t="s">
        <v>10</v>
      </c>
      <c r="J74" s="77">
        <f t="shared" si="30"/>
        <v>-1</v>
      </c>
      <c r="K74" s="27">
        <f t="shared" si="31"/>
        <v>-55.55</v>
      </c>
    </row>
    <row r="75" spans="2:11" x14ac:dyDescent="0.3">
      <c r="B75" s="45">
        <v>71</v>
      </c>
      <c r="C75" s="61" t="s">
        <v>21</v>
      </c>
      <c r="D75" s="75">
        <v>1.37</v>
      </c>
      <c r="E75" s="40">
        <f t="shared" si="27"/>
        <v>0.72992700729927007</v>
      </c>
      <c r="F75" s="58">
        <f t="shared" si="28"/>
        <v>0.52992700729927011</v>
      </c>
      <c r="G75" s="87">
        <f>1/F75</f>
        <v>1.887052341597796</v>
      </c>
      <c r="H75" s="23">
        <v>0</v>
      </c>
      <c r="I75" s="23" t="s">
        <v>7</v>
      </c>
      <c r="J75" s="15">
        <f t="shared" ref="J75:J81" si="32">IF(H75=0,0,IF(I75="WON",(G75-1)*0.94,-1))</f>
        <v>0</v>
      </c>
      <c r="K75" s="25">
        <f t="shared" ref="K75:K81" si="33">J75*J$3</f>
        <v>0</v>
      </c>
    </row>
    <row r="76" spans="2:11" x14ac:dyDescent="0.3">
      <c r="B76" s="46">
        <v>72</v>
      </c>
      <c r="C76" s="62" t="s">
        <v>34</v>
      </c>
      <c r="D76" s="1">
        <v>1.29</v>
      </c>
      <c r="E76" s="41">
        <f t="shared" si="27"/>
        <v>0.77519379844961234</v>
      </c>
      <c r="F76" s="54">
        <f t="shared" si="28"/>
        <v>0.57519379844961227</v>
      </c>
      <c r="G76" s="86">
        <f>1/F76</f>
        <v>1.7385444743935314</v>
      </c>
      <c r="H76" s="51">
        <v>1</v>
      </c>
      <c r="I76" s="51" t="s">
        <v>10</v>
      </c>
      <c r="J76" s="77">
        <f t="shared" si="32"/>
        <v>-1</v>
      </c>
      <c r="K76" s="27">
        <f t="shared" si="33"/>
        <v>-55.55</v>
      </c>
    </row>
    <row r="77" spans="2:11" x14ac:dyDescent="0.3">
      <c r="B77" s="46">
        <v>73</v>
      </c>
      <c r="C77" s="62" t="s">
        <v>18</v>
      </c>
      <c r="D77" s="1">
        <v>1.05</v>
      </c>
      <c r="E77" s="41">
        <f t="shared" si="27"/>
        <v>0.95238095238095233</v>
      </c>
      <c r="F77" s="54">
        <f t="shared" si="28"/>
        <v>0.75238095238095237</v>
      </c>
      <c r="G77" s="86">
        <f>1/F77</f>
        <v>1.3291139240506329</v>
      </c>
      <c r="H77" s="51">
        <v>0</v>
      </c>
      <c r="I77" s="51" t="s">
        <v>7</v>
      </c>
      <c r="J77" s="77">
        <f t="shared" si="32"/>
        <v>0</v>
      </c>
      <c r="K77" s="27">
        <f t="shared" si="33"/>
        <v>0</v>
      </c>
    </row>
    <row r="78" spans="2:11" x14ac:dyDescent="0.3">
      <c r="B78" s="46">
        <v>74</v>
      </c>
      <c r="C78" s="62" t="s">
        <v>17</v>
      </c>
      <c r="D78" s="1">
        <v>1.68</v>
      </c>
      <c r="E78" s="41">
        <f t="shared" si="27"/>
        <v>0.59523809523809523</v>
      </c>
      <c r="F78" s="54">
        <f t="shared" si="28"/>
        <v>0.39523809523809522</v>
      </c>
      <c r="G78" s="86">
        <v>2.54</v>
      </c>
      <c r="H78" s="51">
        <v>1</v>
      </c>
      <c r="I78" s="51" t="s">
        <v>10</v>
      </c>
      <c r="J78" s="77">
        <f t="shared" si="32"/>
        <v>-1</v>
      </c>
      <c r="K78" s="27">
        <f t="shared" si="33"/>
        <v>-55.55</v>
      </c>
    </row>
    <row r="79" spans="2:11" x14ac:dyDescent="0.3">
      <c r="B79" s="46">
        <v>75</v>
      </c>
      <c r="C79" s="62" t="s">
        <v>20</v>
      </c>
      <c r="D79" s="1">
        <v>1.61</v>
      </c>
      <c r="E79" s="41">
        <f t="shared" si="27"/>
        <v>0.6211180124223602</v>
      </c>
      <c r="F79" s="54">
        <f t="shared" si="28"/>
        <v>0.42111801242236019</v>
      </c>
      <c r="G79" s="86">
        <v>2.38</v>
      </c>
      <c r="H79" s="71">
        <v>0</v>
      </c>
      <c r="I79" s="71" t="s">
        <v>7</v>
      </c>
      <c r="J79" s="77">
        <f t="shared" si="32"/>
        <v>0</v>
      </c>
      <c r="K79" s="27">
        <f t="shared" si="33"/>
        <v>0</v>
      </c>
    </row>
    <row r="80" spans="2:11" x14ac:dyDescent="0.3">
      <c r="B80" s="46">
        <v>76</v>
      </c>
      <c r="C80" s="62" t="s">
        <v>35</v>
      </c>
      <c r="D80" s="1">
        <v>2</v>
      </c>
      <c r="E80" s="41">
        <f t="shared" ref="E80:E81" si="34">1/D80</f>
        <v>0.5</v>
      </c>
      <c r="F80" s="54">
        <f t="shared" ref="F80:F81" si="35">E80-0.2</f>
        <v>0.3</v>
      </c>
      <c r="G80" s="86">
        <f t="shared" ref="G80:G81" si="36">1/F80</f>
        <v>3.3333333333333335</v>
      </c>
      <c r="H80" s="51">
        <v>0</v>
      </c>
      <c r="I80" s="51" t="s">
        <v>7</v>
      </c>
      <c r="J80" s="77">
        <f t="shared" si="32"/>
        <v>0</v>
      </c>
      <c r="K80" s="27">
        <f t="shared" si="33"/>
        <v>0</v>
      </c>
    </row>
    <row r="81" spans="2:11" ht="15" thickBot="1" x14ac:dyDescent="0.35">
      <c r="B81" s="47">
        <v>77</v>
      </c>
      <c r="C81" s="91" t="s">
        <v>125</v>
      </c>
      <c r="D81" s="76">
        <v>1.53</v>
      </c>
      <c r="E81" s="42">
        <f t="shared" si="34"/>
        <v>0.65359477124183007</v>
      </c>
      <c r="F81" s="59">
        <f t="shared" si="35"/>
        <v>0.45359477124183006</v>
      </c>
      <c r="G81" s="90">
        <f t="shared" si="36"/>
        <v>2.2046109510086453</v>
      </c>
      <c r="H81" s="9">
        <v>0</v>
      </c>
      <c r="I81" s="9" t="s">
        <v>7</v>
      </c>
      <c r="J81" s="78">
        <f t="shared" si="32"/>
        <v>0</v>
      </c>
      <c r="K81" s="29">
        <f t="shared" si="33"/>
        <v>0</v>
      </c>
    </row>
    <row r="82" spans="2:11" x14ac:dyDescent="0.3">
      <c r="C82" s="1" t="s">
        <v>126</v>
      </c>
      <c r="D82" t="s">
        <v>128</v>
      </c>
      <c r="G82">
        <v>2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09"/>
  <sheetViews>
    <sheetView tabSelected="1" topLeftCell="A88" zoomScale="147" workbookViewId="0">
      <selection activeCell="H109" sqref="H109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1</v>
      </c>
      <c r="I52" s="1" t="s">
        <v>7</v>
      </c>
      <c r="J52" s="26">
        <f t="shared" ref="J52:J61" si="43">IF(H52=0,0,IF(I52="WON",(G52*0.94-1),-1))</f>
        <v>0.38808290155440384</v>
      </c>
      <c r="K52" s="27">
        <f t="shared" ref="K52:K61" si="44">J52*J$3</f>
        <v>21.558005181347131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1</v>
      </c>
      <c r="I53" s="1" t="s">
        <v>7</v>
      </c>
      <c r="J53" s="26">
        <f t="shared" si="43"/>
        <v>1.7603174603174607</v>
      </c>
      <c r="K53" s="27">
        <f t="shared" si="44"/>
        <v>97.785634920634934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1</v>
      </c>
      <c r="I54" s="1" t="s">
        <v>10</v>
      </c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0</v>
      </c>
      <c r="I55" s="1" t="s">
        <v>7</v>
      </c>
      <c r="J55" s="26">
        <f t="shared" si="43"/>
        <v>0</v>
      </c>
      <c r="K55" s="27">
        <f t="shared" si="44"/>
        <v>0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0</v>
      </c>
      <c r="I56" s="1" t="s">
        <v>7</v>
      </c>
      <c r="J56" s="26">
        <f t="shared" si="43"/>
        <v>0</v>
      </c>
      <c r="K56" s="27">
        <f t="shared" si="44"/>
        <v>0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0</v>
      </c>
      <c r="I57" s="1" t="s">
        <v>7</v>
      </c>
      <c r="J57" s="26">
        <f t="shared" si="43"/>
        <v>0</v>
      </c>
      <c r="K57" s="27">
        <f t="shared" si="44"/>
        <v>0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1</v>
      </c>
      <c r="I58" s="1" t="s">
        <v>7</v>
      </c>
      <c r="J58" s="26">
        <f t="shared" si="43"/>
        <v>1.0528735632183905</v>
      </c>
      <c r="K58" s="27">
        <f t="shared" si="44"/>
        <v>58.487126436781594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0</v>
      </c>
      <c r="I59" s="1" t="s">
        <v>7</v>
      </c>
      <c r="J59" s="26">
        <f t="shared" si="43"/>
        <v>0</v>
      </c>
      <c r="K59" s="27">
        <f t="shared" si="44"/>
        <v>0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0</v>
      </c>
      <c r="I60" s="1" t="s">
        <v>7</v>
      </c>
      <c r="J60" s="26">
        <f t="shared" si="43"/>
        <v>0</v>
      </c>
      <c r="K60" s="27">
        <f t="shared" si="44"/>
        <v>0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1</v>
      </c>
      <c r="I61" s="1" t="s">
        <v>7</v>
      </c>
      <c r="J61" s="26">
        <f t="shared" si="43"/>
        <v>0.90112359550561782</v>
      </c>
      <c r="K61" s="27">
        <f t="shared" si="44"/>
        <v>50.05741573033707</v>
      </c>
    </row>
    <row r="62" spans="2:11" x14ac:dyDescent="0.3">
      <c r="B62" s="3">
        <v>58</v>
      </c>
      <c r="C62" s="79" t="s">
        <v>97</v>
      </c>
      <c r="D62" s="7">
        <v>1.78</v>
      </c>
      <c r="E62" s="80">
        <f t="shared" ref="E62:E105" si="46">1/D62</f>
        <v>0.5617977528089888</v>
      </c>
      <c r="F62" s="6">
        <f t="shared" ref="F62:F101" si="47">E62-0.2</f>
        <v>0.36179775280898879</v>
      </c>
      <c r="G62" s="52">
        <f t="shared" ref="G62:G73" si="48">1/F62</f>
        <v>2.7639751552795029</v>
      </c>
      <c r="H62" s="1">
        <v>0</v>
      </c>
      <c r="I62" s="1" t="s">
        <v>7</v>
      </c>
      <c r="J62" s="26">
        <f t="shared" ref="J62:J73" si="49">IF(H62=0,0,IF(I62="WON",(G62*0.94-1),-1))</f>
        <v>0</v>
      </c>
      <c r="K62" s="27">
        <f t="shared" ref="K62:K73" si="50">J62*J$3</f>
        <v>0</v>
      </c>
    </row>
    <row r="63" spans="2:11" x14ac:dyDescent="0.3">
      <c r="B63" s="3">
        <v>59</v>
      </c>
      <c r="C63" s="79" t="s">
        <v>98</v>
      </c>
      <c r="D63" s="7">
        <v>1.35</v>
      </c>
      <c r="E63" s="80">
        <f t="shared" si="46"/>
        <v>0.7407407407407407</v>
      </c>
      <c r="F63" s="6">
        <f t="shared" si="47"/>
        <v>0.54074074074074074</v>
      </c>
      <c r="G63" s="52">
        <f t="shared" si="48"/>
        <v>1.8493150684931507</v>
      </c>
      <c r="H63" s="1">
        <v>0</v>
      </c>
      <c r="I63" s="1" t="s">
        <v>7</v>
      </c>
      <c r="J63" s="26">
        <f t="shared" si="49"/>
        <v>0</v>
      </c>
      <c r="K63" s="27">
        <f t="shared" si="50"/>
        <v>0</v>
      </c>
    </row>
    <row r="64" spans="2:11" x14ac:dyDescent="0.3">
      <c r="B64" s="3">
        <v>60</v>
      </c>
      <c r="C64" s="79" t="s">
        <v>99</v>
      </c>
      <c r="D64" s="7">
        <v>1.69</v>
      </c>
      <c r="E64" s="80">
        <f t="shared" si="46"/>
        <v>0.59171597633136097</v>
      </c>
      <c r="F64" s="6">
        <f t="shared" si="47"/>
        <v>0.39171597633136096</v>
      </c>
      <c r="G64" s="52">
        <v>2.56</v>
      </c>
      <c r="H64" s="1">
        <v>0</v>
      </c>
      <c r="I64" s="1" t="s">
        <v>7</v>
      </c>
      <c r="J64" s="26">
        <f t="shared" si="49"/>
        <v>0</v>
      </c>
      <c r="K64" s="27">
        <f t="shared" si="50"/>
        <v>0</v>
      </c>
    </row>
    <row r="65" spans="2:11" x14ac:dyDescent="0.3">
      <c r="B65" s="3">
        <v>61</v>
      </c>
      <c r="C65" s="79" t="s">
        <v>100</v>
      </c>
      <c r="D65" s="7">
        <v>1.1100000000000001</v>
      </c>
      <c r="E65" s="80">
        <f t="shared" si="46"/>
        <v>0.9009009009009008</v>
      </c>
      <c r="F65" s="6">
        <f t="shared" si="47"/>
        <v>0.70090090090090085</v>
      </c>
      <c r="G65" s="52">
        <f t="shared" si="48"/>
        <v>1.4267352185089976</v>
      </c>
      <c r="H65" s="1">
        <v>1</v>
      </c>
      <c r="I65" s="1" t="s">
        <v>7</v>
      </c>
      <c r="J65" s="26">
        <f t="shared" si="49"/>
        <v>0.34113110539845781</v>
      </c>
      <c r="K65" s="27">
        <f t="shared" si="50"/>
        <v>18.949832904884332</v>
      </c>
    </row>
    <row r="66" spans="2:11" x14ac:dyDescent="0.3">
      <c r="B66" s="3">
        <v>62</v>
      </c>
      <c r="C66" s="79" t="s">
        <v>101</v>
      </c>
      <c r="D66" s="7">
        <v>1.3</v>
      </c>
      <c r="E66" s="80">
        <f t="shared" si="46"/>
        <v>0.76923076923076916</v>
      </c>
      <c r="F66" s="6">
        <f t="shared" si="47"/>
        <v>0.56923076923076921</v>
      </c>
      <c r="G66" s="52">
        <f t="shared" si="48"/>
        <v>1.7567567567567568</v>
      </c>
      <c r="H66" s="1">
        <v>1</v>
      </c>
      <c r="I66" s="1" t="s">
        <v>10</v>
      </c>
      <c r="J66" s="26">
        <f t="shared" si="49"/>
        <v>-1</v>
      </c>
      <c r="K66" s="27">
        <f t="shared" si="50"/>
        <v>-55.55</v>
      </c>
    </row>
    <row r="67" spans="2:11" x14ac:dyDescent="0.3">
      <c r="B67" s="3">
        <v>63</v>
      </c>
      <c r="C67" s="79" t="s">
        <v>102</v>
      </c>
      <c r="D67" s="7">
        <v>1.24</v>
      </c>
      <c r="E67" s="80">
        <f t="shared" si="46"/>
        <v>0.80645161290322587</v>
      </c>
      <c r="F67" s="6">
        <f t="shared" si="47"/>
        <v>0.6064516129032258</v>
      </c>
      <c r="G67" s="52">
        <f t="shared" si="48"/>
        <v>1.6489361702127661</v>
      </c>
      <c r="H67" s="1">
        <v>0</v>
      </c>
      <c r="I67" s="1" t="s">
        <v>7</v>
      </c>
      <c r="J67" s="26">
        <f t="shared" si="49"/>
        <v>0</v>
      </c>
      <c r="K67" s="27">
        <f t="shared" si="50"/>
        <v>0</v>
      </c>
    </row>
    <row r="68" spans="2:11" x14ac:dyDescent="0.3">
      <c r="B68" s="3">
        <v>64</v>
      </c>
      <c r="C68" s="79" t="s">
        <v>103</v>
      </c>
      <c r="D68" s="7">
        <v>1.78</v>
      </c>
      <c r="E68" s="80">
        <f t="shared" si="46"/>
        <v>0.5617977528089888</v>
      </c>
      <c r="F68" s="6">
        <f t="shared" si="47"/>
        <v>0.36179775280898879</v>
      </c>
      <c r="G68" s="52">
        <f t="shared" si="48"/>
        <v>2.7639751552795029</v>
      </c>
      <c r="H68" s="1">
        <v>1</v>
      </c>
      <c r="I68" s="1" t="s">
        <v>10</v>
      </c>
      <c r="J68" s="26">
        <f t="shared" si="49"/>
        <v>-1</v>
      </c>
      <c r="K68" s="27">
        <f t="shared" si="50"/>
        <v>-55.55</v>
      </c>
    </row>
    <row r="69" spans="2:11" x14ac:dyDescent="0.3">
      <c r="B69" s="3">
        <v>65</v>
      </c>
      <c r="C69" s="79" t="s">
        <v>51</v>
      </c>
      <c r="D69" s="7">
        <v>1.1100000000000001</v>
      </c>
      <c r="E69" s="80">
        <f t="shared" si="46"/>
        <v>0.9009009009009008</v>
      </c>
      <c r="F69" s="6">
        <f t="shared" si="47"/>
        <v>0.70090090090090085</v>
      </c>
      <c r="G69" s="52">
        <f t="shared" si="48"/>
        <v>1.4267352185089976</v>
      </c>
      <c r="H69" s="1">
        <v>1</v>
      </c>
      <c r="I69" s="1" t="s">
        <v>7</v>
      </c>
      <c r="J69" s="26">
        <f t="shared" si="49"/>
        <v>0.34113110539845781</v>
      </c>
      <c r="K69" s="27">
        <f t="shared" si="50"/>
        <v>18.949832904884332</v>
      </c>
    </row>
    <row r="70" spans="2:11" x14ac:dyDescent="0.3">
      <c r="B70" s="3">
        <v>66</v>
      </c>
      <c r="C70" s="79" t="s">
        <v>104</v>
      </c>
      <c r="D70" s="7">
        <v>1.0900000000000001</v>
      </c>
      <c r="E70" s="80">
        <f t="shared" si="46"/>
        <v>0.9174311926605504</v>
      </c>
      <c r="F70" s="6">
        <f t="shared" si="47"/>
        <v>0.71743119266055033</v>
      </c>
      <c r="G70" s="52">
        <f t="shared" si="48"/>
        <v>1.3938618925831205</v>
      </c>
      <c r="H70" s="1">
        <v>0</v>
      </c>
      <c r="I70" s="1" t="s">
        <v>7</v>
      </c>
      <c r="J70" s="26">
        <f t="shared" si="49"/>
        <v>0</v>
      </c>
      <c r="K70" s="27">
        <f t="shared" si="50"/>
        <v>0</v>
      </c>
    </row>
    <row r="71" spans="2:11" x14ac:dyDescent="0.3">
      <c r="B71" s="3">
        <v>67</v>
      </c>
      <c r="C71" s="79" t="s">
        <v>105</v>
      </c>
      <c r="D71" s="7">
        <v>1.29</v>
      </c>
      <c r="E71" s="80">
        <f t="shared" si="46"/>
        <v>0.77519379844961234</v>
      </c>
      <c r="F71" s="6">
        <f t="shared" si="47"/>
        <v>0.57519379844961227</v>
      </c>
      <c r="G71" s="52">
        <f t="shared" si="48"/>
        <v>1.7385444743935314</v>
      </c>
      <c r="H71" s="1">
        <v>0</v>
      </c>
      <c r="I71" s="1" t="s">
        <v>7</v>
      </c>
      <c r="J71" s="26">
        <f t="shared" si="49"/>
        <v>0</v>
      </c>
      <c r="K71" s="27">
        <f t="shared" si="50"/>
        <v>0</v>
      </c>
    </row>
    <row r="72" spans="2:11" x14ac:dyDescent="0.3">
      <c r="B72" s="3">
        <v>68</v>
      </c>
      <c r="C72" s="79" t="s">
        <v>76</v>
      </c>
      <c r="D72" s="7">
        <v>1.07</v>
      </c>
      <c r="E72" s="80">
        <f t="shared" si="46"/>
        <v>0.93457943925233644</v>
      </c>
      <c r="F72" s="6">
        <f t="shared" si="47"/>
        <v>0.73457943925233637</v>
      </c>
      <c r="G72" s="52">
        <f t="shared" si="48"/>
        <v>1.3613231552162852</v>
      </c>
      <c r="H72" s="1">
        <v>1</v>
      </c>
      <c r="I72" s="1" t="s">
        <v>7</v>
      </c>
      <c r="J72" s="26">
        <f t="shared" si="49"/>
        <v>0.27964376590330797</v>
      </c>
      <c r="K72" s="27">
        <f t="shared" si="50"/>
        <v>15.534211195928757</v>
      </c>
    </row>
    <row r="73" spans="2:11" x14ac:dyDescent="0.3">
      <c r="B73" s="3">
        <v>69</v>
      </c>
      <c r="C73" s="79" t="s">
        <v>58</v>
      </c>
      <c r="D73" s="7">
        <v>1.1100000000000001</v>
      </c>
      <c r="E73" s="80">
        <f t="shared" si="46"/>
        <v>0.9009009009009008</v>
      </c>
      <c r="F73" s="6">
        <f t="shared" si="47"/>
        <v>0.70090090090090085</v>
      </c>
      <c r="G73" s="52">
        <f t="shared" si="48"/>
        <v>1.4267352185089976</v>
      </c>
      <c r="H73" s="1">
        <v>0</v>
      </c>
      <c r="I73" s="1" t="s">
        <v>7</v>
      </c>
      <c r="J73" s="26">
        <f t="shared" si="49"/>
        <v>0</v>
      </c>
      <c r="K73" s="27">
        <f t="shared" si="50"/>
        <v>0</v>
      </c>
    </row>
    <row r="74" spans="2:11" x14ac:dyDescent="0.3">
      <c r="B74" s="3">
        <v>70</v>
      </c>
      <c r="C74" s="79" t="s">
        <v>106</v>
      </c>
      <c r="D74" s="7">
        <v>1.91</v>
      </c>
      <c r="E74" s="80">
        <f t="shared" si="46"/>
        <v>0.52356020942408377</v>
      </c>
      <c r="F74" s="6">
        <f t="shared" si="47"/>
        <v>0.32356020942408376</v>
      </c>
      <c r="G74" s="52">
        <v>3.1</v>
      </c>
      <c r="H74" s="1">
        <v>1</v>
      </c>
      <c r="I74" s="1" t="s">
        <v>7</v>
      </c>
      <c r="J74" s="26">
        <f t="shared" ref="J74:J94" si="51">IF(H74=0,0,IF(I74="WON",(G74*0.94-1),-1))</f>
        <v>1.9139999999999997</v>
      </c>
      <c r="K74" s="27">
        <f t="shared" ref="K74:K94" si="52">J74*J$3</f>
        <v>106.32269999999998</v>
      </c>
    </row>
    <row r="75" spans="2:11" x14ac:dyDescent="0.3">
      <c r="B75" s="3">
        <v>71</v>
      </c>
      <c r="C75" s="79" t="s">
        <v>107</v>
      </c>
      <c r="D75" s="7">
        <v>1.32</v>
      </c>
      <c r="E75" s="80">
        <f t="shared" si="46"/>
        <v>0.75757575757575757</v>
      </c>
      <c r="F75" s="6">
        <f t="shared" si="47"/>
        <v>0.55757575757575761</v>
      </c>
      <c r="G75" s="52">
        <f>1/F75</f>
        <v>1.7934782608695652</v>
      </c>
      <c r="H75" s="1">
        <v>1</v>
      </c>
      <c r="I75" s="1" t="s">
        <v>10</v>
      </c>
      <c r="J75" s="26">
        <f t="shared" si="51"/>
        <v>-1</v>
      </c>
      <c r="K75" s="27">
        <f t="shared" si="52"/>
        <v>-55.55</v>
      </c>
    </row>
    <row r="76" spans="2:11" x14ac:dyDescent="0.3">
      <c r="B76" s="3">
        <v>72</v>
      </c>
      <c r="C76" s="79" t="s">
        <v>108</v>
      </c>
      <c r="D76" s="7">
        <v>1.06</v>
      </c>
      <c r="E76" s="80">
        <f t="shared" si="46"/>
        <v>0.94339622641509424</v>
      </c>
      <c r="F76" s="6">
        <f t="shared" si="47"/>
        <v>0.74339622641509417</v>
      </c>
      <c r="G76" s="52">
        <f>1/F76</f>
        <v>1.3451776649746197</v>
      </c>
      <c r="H76" s="1">
        <v>1</v>
      </c>
      <c r="I76" s="1" t="s">
        <v>10</v>
      </c>
      <c r="J76" s="26">
        <f t="shared" si="51"/>
        <v>-1</v>
      </c>
      <c r="K76" s="27">
        <f t="shared" si="52"/>
        <v>-55.55</v>
      </c>
    </row>
    <row r="77" spans="2:11" x14ac:dyDescent="0.3">
      <c r="B77" s="3">
        <v>73</v>
      </c>
      <c r="C77" s="79" t="s">
        <v>109</v>
      </c>
      <c r="D77" s="7">
        <v>1.06</v>
      </c>
      <c r="E77" s="80">
        <f t="shared" si="46"/>
        <v>0.94339622641509424</v>
      </c>
      <c r="F77" s="6">
        <f t="shared" si="47"/>
        <v>0.74339622641509417</v>
      </c>
      <c r="G77" s="52">
        <f>1/F77</f>
        <v>1.3451776649746197</v>
      </c>
      <c r="H77" s="1">
        <v>0</v>
      </c>
      <c r="I77" s="1" t="s">
        <v>7</v>
      </c>
      <c r="J77" s="26">
        <f t="shared" si="51"/>
        <v>0</v>
      </c>
      <c r="K77" s="27">
        <f t="shared" si="52"/>
        <v>0</v>
      </c>
    </row>
    <row r="78" spans="2:11" x14ac:dyDescent="0.3">
      <c r="B78" s="3">
        <v>74</v>
      </c>
      <c r="C78" s="79" t="s">
        <v>110</v>
      </c>
      <c r="D78" s="7">
        <v>1.66</v>
      </c>
      <c r="E78" s="80">
        <f t="shared" si="46"/>
        <v>0.60240963855421692</v>
      </c>
      <c r="F78" s="6">
        <f t="shared" si="47"/>
        <v>0.40240963855421691</v>
      </c>
      <c r="G78" s="52">
        <v>2.5</v>
      </c>
      <c r="H78" s="1">
        <v>1</v>
      </c>
      <c r="I78" s="1" t="s">
        <v>10</v>
      </c>
      <c r="J78" s="26">
        <f t="shared" si="51"/>
        <v>-1</v>
      </c>
      <c r="K78" s="27">
        <f t="shared" si="52"/>
        <v>-55.55</v>
      </c>
    </row>
    <row r="79" spans="2:11" x14ac:dyDescent="0.3">
      <c r="B79" s="3">
        <v>75</v>
      </c>
      <c r="C79" s="79" t="s">
        <v>86</v>
      </c>
      <c r="D79" s="7">
        <v>1.28</v>
      </c>
      <c r="E79" s="80">
        <f t="shared" si="46"/>
        <v>0.78125</v>
      </c>
      <c r="F79" s="6">
        <f t="shared" si="47"/>
        <v>0.58125000000000004</v>
      </c>
      <c r="G79" s="52">
        <f t="shared" ref="G79:G99" si="53">1/F79</f>
        <v>1.7204301075268815</v>
      </c>
      <c r="H79" s="1">
        <v>1</v>
      </c>
      <c r="I79" s="1" t="s">
        <v>10</v>
      </c>
      <c r="J79" s="26">
        <f t="shared" si="51"/>
        <v>-1</v>
      </c>
      <c r="K79" s="27">
        <f t="shared" si="52"/>
        <v>-55.55</v>
      </c>
    </row>
    <row r="80" spans="2:11" x14ac:dyDescent="0.3">
      <c r="B80" s="3">
        <v>76</v>
      </c>
      <c r="C80" s="79" t="s">
        <v>53</v>
      </c>
      <c r="D80" s="7">
        <v>1.1499999999999999</v>
      </c>
      <c r="E80" s="80">
        <f t="shared" si="46"/>
        <v>0.86956521739130443</v>
      </c>
      <c r="F80" s="6">
        <f t="shared" si="47"/>
        <v>0.66956521739130448</v>
      </c>
      <c r="G80" s="52">
        <f t="shared" si="53"/>
        <v>1.4935064935064932</v>
      </c>
      <c r="H80" s="1">
        <v>0</v>
      </c>
      <c r="I80" s="1" t="s">
        <v>7</v>
      </c>
      <c r="J80" s="26">
        <f t="shared" si="51"/>
        <v>0</v>
      </c>
      <c r="K80" s="27">
        <f t="shared" si="52"/>
        <v>0</v>
      </c>
    </row>
    <row r="81" spans="2:11" x14ac:dyDescent="0.3">
      <c r="B81" s="3">
        <v>77</v>
      </c>
      <c r="C81" s="79" t="s">
        <v>111</v>
      </c>
      <c r="D81" s="7">
        <v>1.27</v>
      </c>
      <c r="E81" s="80">
        <f t="shared" si="46"/>
        <v>0.78740157480314954</v>
      </c>
      <c r="F81" s="6">
        <f t="shared" si="47"/>
        <v>0.58740157480314958</v>
      </c>
      <c r="G81" s="52">
        <f t="shared" si="53"/>
        <v>1.7024128686327078</v>
      </c>
      <c r="H81" s="1">
        <v>0</v>
      </c>
      <c r="I81" s="1" t="s">
        <v>7</v>
      </c>
      <c r="J81" s="26">
        <f t="shared" si="51"/>
        <v>0</v>
      </c>
      <c r="K81" s="27">
        <f t="shared" si="52"/>
        <v>0</v>
      </c>
    </row>
    <row r="82" spans="2:11" x14ac:dyDescent="0.3">
      <c r="B82" s="3">
        <v>78</v>
      </c>
      <c r="C82" s="79" t="s">
        <v>112</v>
      </c>
      <c r="D82" s="7">
        <v>1.51</v>
      </c>
      <c r="E82" s="80">
        <f t="shared" si="46"/>
        <v>0.66225165562913912</v>
      </c>
      <c r="F82" s="6">
        <f t="shared" si="47"/>
        <v>0.46225165562913911</v>
      </c>
      <c r="G82" s="52">
        <f t="shared" si="53"/>
        <v>2.1633237822349569</v>
      </c>
      <c r="H82" s="1">
        <v>0</v>
      </c>
      <c r="I82" s="1" t="s">
        <v>7</v>
      </c>
      <c r="J82" s="26">
        <f t="shared" si="51"/>
        <v>0</v>
      </c>
      <c r="K82" s="27">
        <f t="shared" si="52"/>
        <v>0</v>
      </c>
    </row>
    <row r="83" spans="2:11" x14ac:dyDescent="0.3">
      <c r="B83" s="3">
        <v>79</v>
      </c>
      <c r="C83" s="79" t="s">
        <v>113</v>
      </c>
      <c r="D83" s="7">
        <v>1.34</v>
      </c>
      <c r="E83" s="80">
        <f t="shared" si="46"/>
        <v>0.74626865671641784</v>
      </c>
      <c r="F83" s="6">
        <f t="shared" si="47"/>
        <v>0.54626865671641789</v>
      </c>
      <c r="G83" s="52">
        <f t="shared" si="53"/>
        <v>1.8306010928961749</v>
      </c>
      <c r="H83" s="1">
        <v>1</v>
      </c>
      <c r="I83" s="1" t="s">
        <v>7</v>
      </c>
      <c r="J83" s="26">
        <f t="shared" si="51"/>
        <v>0.72076502732240422</v>
      </c>
      <c r="K83" s="27">
        <f t="shared" si="52"/>
        <v>40.038497267759553</v>
      </c>
    </row>
    <row r="84" spans="2:11" x14ac:dyDescent="0.3">
      <c r="B84" s="3">
        <v>80</v>
      </c>
      <c r="C84" s="79" t="s">
        <v>114</v>
      </c>
      <c r="D84" s="7">
        <v>1.0900000000000001</v>
      </c>
      <c r="E84" s="80">
        <f t="shared" si="46"/>
        <v>0.9174311926605504</v>
      </c>
      <c r="F84" s="6">
        <f t="shared" si="47"/>
        <v>0.71743119266055033</v>
      </c>
      <c r="G84" s="52">
        <f t="shared" si="53"/>
        <v>1.3938618925831205</v>
      </c>
      <c r="H84" s="1">
        <v>1</v>
      </c>
      <c r="I84" s="1" t="s">
        <v>10</v>
      </c>
      <c r="J84" s="26">
        <f t="shared" si="51"/>
        <v>-1</v>
      </c>
      <c r="K84" s="27">
        <f t="shared" si="52"/>
        <v>-55.55</v>
      </c>
    </row>
    <row r="85" spans="2:11" x14ac:dyDescent="0.3">
      <c r="B85" s="3">
        <v>81</v>
      </c>
      <c r="C85" s="79" t="s">
        <v>115</v>
      </c>
      <c r="D85" s="7">
        <v>1.75</v>
      </c>
      <c r="E85" s="80">
        <f t="shared" si="46"/>
        <v>0.5714285714285714</v>
      </c>
      <c r="F85" s="6">
        <f t="shared" si="47"/>
        <v>0.37142857142857139</v>
      </c>
      <c r="G85" s="52">
        <v>2.7</v>
      </c>
      <c r="H85" s="1">
        <v>1</v>
      </c>
      <c r="I85" s="1" t="s">
        <v>10</v>
      </c>
      <c r="J85" s="26">
        <f t="shared" si="51"/>
        <v>-1</v>
      </c>
      <c r="K85" s="27">
        <f t="shared" si="52"/>
        <v>-55.55</v>
      </c>
    </row>
    <row r="86" spans="2:11" x14ac:dyDescent="0.3">
      <c r="B86" s="3">
        <v>82</v>
      </c>
      <c r="C86" s="79" t="s">
        <v>116</v>
      </c>
      <c r="D86" s="7">
        <v>1.4</v>
      </c>
      <c r="E86" s="80">
        <f t="shared" si="46"/>
        <v>0.7142857142857143</v>
      </c>
      <c r="F86" s="6">
        <f t="shared" si="47"/>
        <v>0.51428571428571423</v>
      </c>
      <c r="G86" s="52">
        <f t="shared" si="53"/>
        <v>1.9444444444444446</v>
      </c>
      <c r="H86" s="1">
        <v>0</v>
      </c>
      <c r="I86" s="1" t="s">
        <v>7</v>
      </c>
      <c r="J86" s="26">
        <f t="shared" si="51"/>
        <v>0</v>
      </c>
      <c r="K86" s="27">
        <f t="shared" si="52"/>
        <v>0</v>
      </c>
    </row>
    <row r="87" spans="2:11" x14ac:dyDescent="0.3">
      <c r="B87" s="3">
        <v>83</v>
      </c>
      <c r="C87" s="79" t="s">
        <v>117</v>
      </c>
      <c r="D87" s="7">
        <v>1.05</v>
      </c>
      <c r="E87" s="80">
        <f t="shared" si="46"/>
        <v>0.95238095238095233</v>
      </c>
      <c r="F87" s="6">
        <f t="shared" si="47"/>
        <v>0.75238095238095237</v>
      </c>
      <c r="G87" s="52">
        <f t="shared" si="53"/>
        <v>1.3291139240506329</v>
      </c>
      <c r="H87" s="1">
        <v>1</v>
      </c>
      <c r="I87" s="1" t="s">
        <v>7</v>
      </c>
      <c r="J87" s="26">
        <f t="shared" si="51"/>
        <v>0.24936708860759493</v>
      </c>
      <c r="K87" s="27">
        <f t="shared" si="52"/>
        <v>13.852341772151897</v>
      </c>
    </row>
    <row r="88" spans="2:11" x14ac:dyDescent="0.3">
      <c r="B88" s="3">
        <v>84</v>
      </c>
      <c r="C88" s="79" t="s">
        <v>118</v>
      </c>
      <c r="D88" s="7">
        <v>1.65</v>
      </c>
      <c r="E88" s="80">
        <f t="shared" si="46"/>
        <v>0.60606060606060608</v>
      </c>
      <c r="F88" s="6">
        <f t="shared" si="47"/>
        <v>0.40606060606060607</v>
      </c>
      <c r="G88" s="52">
        <f t="shared" si="53"/>
        <v>2.4626865671641789</v>
      </c>
      <c r="H88" s="1">
        <v>0</v>
      </c>
      <c r="I88" s="1" t="s">
        <v>7</v>
      </c>
      <c r="J88" s="26">
        <f t="shared" si="51"/>
        <v>0</v>
      </c>
      <c r="K88" s="27">
        <f t="shared" si="52"/>
        <v>0</v>
      </c>
    </row>
    <row r="89" spans="2:11" x14ac:dyDescent="0.3">
      <c r="B89" s="3">
        <v>85</v>
      </c>
      <c r="C89" s="79" t="s">
        <v>88</v>
      </c>
      <c r="D89" s="7">
        <v>1.1399999999999999</v>
      </c>
      <c r="E89" s="80">
        <f t="shared" si="46"/>
        <v>0.87719298245614041</v>
      </c>
      <c r="F89" s="6">
        <f t="shared" si="47"/>
        <v>0.67719298245614046</v>
      </c>
      <c r="G89" s="52">
        <f t="shared" si="53"/>
        <v>1.4766839378238339</v>
      </c>
      <c r="H89" s="1">
        <v>0</v>
      </c>
      <c r="I89" s="1" t="s">
        <v>7</v>
      </c>
      <c r="J89" s="26">
        <f t="shared" si="51"/>
        <v>0</v>
      </c>
      <c r="K89" s="27">
        <f t="shared" si="52"/>
        <v>0</v>
      </c>
    </row>
    <row r="90" spans="2:11" x14ac:dyDescent="0.3">
      <c r="B90" s="3">
        <v>86</v>
      </c>
      <c r="C90" s="79" t="s">
        <v>119</v>
      </c>
      <c r="D90" s="7">
        <v>1.96</v>
      </c>
      <c r="E90" s="80">
        <f t="shared" si="46"/>
        <v>0.51020408163265307</v>
      </c>
      <c r="F90" s="6">
        <f t="shared" si="47"/>
        <v>0.31020408163265306</v>
      </c>
      <c r="G90" s="52">
        <v>3.25</v>
      </c>
      <c r="H90" s="1">
        <v>1</v>
      </c>
      <c r="I90" s="1" t="s">
        <v>10</v>
      </c>
      <c r="J90" s="26">
        <f t="shared" si="51"/>
        <v>-1</v>
      </c>
      <c r="K90" s="27">
        <f t="shared" si="52"/>
        <v>-55.55</v>
      </c>
    </row>
    <row r="91" spans="2:11" x14ac:dyDescent="0.3">
      <c r="B91" s="3">
        <v>87</v>
      </c>
      <c r="C91" s="79" t="s">
        <v>120</v>
      </c>
      <c r="D91" s="7">
        <v>1.56</v>
      </c>
      <c r="E91" s="80">
        <f t="shared" si="46"/>
        <v>0.64102564102564097</v>
      </c>
      <c r="F91" s="6">
        <f t="shared" si="47"/>
        <v>0.44102564102564096</v>
      </c>
      <c r="G91" s="52">
        <v>2.2799999999999998</v>
      </c>
      <c r="H91" s="1">
        <v>0</v>
      </c>
      <c r="I91" s="1" t="s">
        <v>7</v>
      </c>
      <c r="J91" s="26">
        <f t="shared" si="51"/>
        <v>0</v>
      </c>
      <c r="K91" s="27">
        <f t="shared" si="52"/>
        <v>0</v>
      </c>
    </row>
    <row r="92" spans="2:11" x14ac:dyDescent="0.3">
      <c r="B92" s="3">
        <v>88</v>
      </c>
      <c r="C92" s="79" t="s">
        <v>41</v>
      </c>
      <c r="D92" s="7">
        <v>1.07</v>
      </c>
      <c r="E92" s="80">
        <f t="shared" si="46"/>
        <v>0.93457943925233644</v>
      </c>
      <c r="F92" s="6">
        <f t="shared" si="47"/>
        <v>0.73457943925233637</v>
      </c>
      <c r="G92" s="52">
        <f t="shared" si="53"/>
        <v>1.3613231552162852</v>
      </c>
      <c r="H92" s="1">
        <v>1</v>
      </c>
      <c r="I92" s="1" t="s">
        <v>7</v>
      </c>
      <c r="J92" s="26">
        <f t="shared" si="51"/>
        <v>0.27964376590330797</v>
      </c>
      <c r="K92" s="27">
        <f t="shared" si="52"/>
        <v>15.534211195928757</v>
      </c>
    </row>
    <row r="93" spans="2:11" x14ac:dyDescent="0.3">
      <c r="B93" s="3">
        <v>89</v>
      </c>
      <c r="C93" s="79" t="s">
        <v>121</v>
      </c>
      <c r="D93" s="7">
        <v>1.25</v>
      </c>
      <c r="E93" s="80">
        <f t="shared" si="46"/>
        <v>0.8</v>
      </c>
      <c r="F93" s="6">
        <f t="shared" si="47"/>
        <v>0.60000000000000009</v>
      </c>
      <c r="G93" s="52">
        <f t="shared" si="53"/>
        <v>1.6666666666666665</v>
      </c>
      <c r="H93" s="1">
        <v>1</v>
      </c>
      <c r="I93" s="1" t="s">
        <v>7</v>
      </c>
      <c r="J93" s="26">
        <f t="shared" si="51"/>
        <v>0.56666666666666643</v>
      </c>
      <c r="K93" s="27">
        <f t="shared" si="52"/>
        <v>31.478333333333318</v>
      </c>
    </row>
    <row r="94" spans="2:11" x14ac:dyDescent="0.3">
      <c r="B94" s="3">
        <v>90</v>
      </c>
      <c r="C94" s="79" t="s">
        <v>122</v>
      </c>
      <c r="D94" s="7">
        <v>1.71</v>
      </c>
      <c r="E94" s="80">
        <f t="shared" si="46"/>
        <v>0.58479532163742687</v>
      </c>
      <c r="F94" s="6">
        <f t="shared" si="47"/>
        <v>0.38479532163742686</v>
      </c>
      <c r="G94" s="52">
        <f t="shared" si="53"/>
        <v>2.5987841945288759</v>
      </c>
      <c r="H94" s="1">
        <v>1</v>
      </c>
      <c r="I94" s="1" t="s">
        <v>10</v>
      </c>
      <c r="J94" s="26">
        <f t="shared" si="51"/>
        <v>-1</v>
      </c>
      <c r="K94" s="27">
        <f t="shared" si="52"/>
        <v>-55.55</v>
      </c>
    </row>
    <row r="95" spans="2:11" x14ac:dyDescent="0.3">
      <c r="B95" s="3">
        <v>91</v>
      </c>
      <c r="C95" s="79" t="s">
        <v>53</v>
      </c>
      <c r="D95" s="7">
        <v>1.1599999999999999</v>
      </c>
      <c r="E95" s="80">
        <f t="shared" si="46"/>
        <v>0.86206896551724144</v>
      </c>
      <c r="F95" s="6">
        <f t="shared" si="47"/>
        <v>0.66206896551724137</v>
      </c>
      <c r="G95" s="52">
        <f t="shared" si="53"/>
        <v>1.5104166666666667</v>
      </c>
      <c r="H95" s="1">
        <v>0</v>
      </c>
      <c r="I95" s="1" t="s">
        <v>7</v>
      </c>
      <c r="J95" s="26">
        <f t="shared" ref="J95:J101" si="54">IF(H95=0,0,IF(I95="WON",(G95*0.94-1),-1))</f>
        <v>0</v>
      </c>
      <c r="K95" s="27">
        <f t="shared" ref="K95:K101" si="55">J95*J$3</f>
        <v>0</v>
      </c>
    </row>
    <row r="96" spans="2:11" x14ac:dyDescent="0.3">
      <c r="B96" s="3">
        <v>92</v>
      </c>
      <c r="C96" s="79" t="s">
        <v>104</v>
      </c>
      <c r="D96" s="7">
        <v>1.19</v>
      </c>
      <c r="E96" s="80">
        <f t="shared" si="46"/>
        <v>0.84033613445378152</v>
      </c>
      <c r="F96" s="6">
        <f t="shared" si="47"/>
        <v>0.64033613445378146</v>
      </c>
      <c r="G96" s="52">
        <f t="shared" si="53"/>
        <v>1.5616797900262469</v>
      </c>
      <c r="H96" s="1">
        <v>0</v>
      </c>
      <c r="I96" s="1" t="s">
        <v>7</v>
      </c>
      <c r="J96" s="26">
        <f t="shared" si="54"/>
        <v>0</v>
      </c>
      <c r="K96" s="27">
        <f t="shared" si="55"/>
        <v>0</v>
      </c>
    </row>
    <row r="97" spans="2:11" x14ac:dyDescent="0.3">
      <c r="B97" s="3">
        <v>93</v>
      </c>
      <c r="C97" s="79" t="s">
        <v>113</v>
      </c>
      <c r="D97" s="7">
        <v>1.38</v>
      </c>
      <c r="E97" s="80">
        <f t="shared" si="46"/>
        <v>0.7246376811594204</v>
      </c>
      <c r="F97" s="6">
        <f t="shared" si="47"/>
        <v>0.52463768115942044</v>
      </c>
      <c r="G97" s="52">
        <f t="shared" si="53"/>
        <v>1.9060773480662978</v>
      </c>
      <c r="H97" s="1">
        <v>1</v>
      </c>
      <c r="I97" s="1" t="s">
        <v>7</v>
      </c>
      <c r="J97" s="26">
        <f t="shared" si="54"/>
        <v>0.79171270718231979</v>
      </c>
      <c r="K97" s="27">
        <f t="shared" si="55"/>
        <v>43.979640883977865</v>
      </c>
    </row>
    <row r="98" spans="2:11" x14ac:dyDescent="0.3">
      <c r="B98" s="3">
        <v>94</v>
      </c>
      <c r="C98" s="79" t="s">
        <v>73</v>
      </c>
      <c r="D98" s="7">
        <v>1.42</v>
      </c>
      <c r="E98" s="80">
        <f t="shared" si="46"/>
        <v>0.70422535211267612</v>
      </c>
      <c r="F98" s="6">
        <f t="shared" si="47"/>
        <v>0.50422535211267605</v>
      </c>
      <c r="G98" s="52">
        <f t="shared" si="53"/>
        <v>1.9832402234636872</v>
      </c>
      <c r="H98" s="1">
        <v>1</v>
      </c>
      <c r="I98" s="1" t="s">
        <v>10</v>
      </c>
      <c r="J98" s="26">
        <f t="shared" si="54"/>
        <v>-1</v>
      </c>
      <c r="K98" s="27">
        <f t="shared" si="55"/>
        <v>-55.55</v>
      </c>
    </row>
    <row r="99" spans="2:11" x14ac:dyDescent="0.3">
      <c r="B99" s="3">
        <v>95</v>
      </c>
      <c r="C99" s="79" t="s">
        <v>123</v>
      </c>
      <c r="D99" s="7">
        <v>1.35</v>
      </c>
      <c r="E99" s="80">
        <f t="shared" si="46"/>
        <v>0.7407407407407407</v>
      </c>
      <c r="F99" s="6">
        <f t="shared" si="47"/>
        <v>0.54074074074074074</v>
      </c>
      <c r="G99" s="52">
        <f t="shared" si="53"/>
        <v>1.8493150684931507</v>
      </c>
      <c r="H99" s="1">
        <v>1</v>
      </c>
      <c r="I99" s="1" t="s">
        <v>10</v>
      </c>
      <c r="J99" s="26">
        <f t="shared" si="54"/>
        <v>-1</v>
      </c>
      <c r="K99" s="27">
        <f t="shared" si="55"/>
        <v>-55.55</v>
      </c>
    </row>
    <row r="100" spans="2:11" x14ac:dyDescent="0.3">
      <c r="B100" s="3">
        <v>96</v>
      </c>
      <c r="C100" s="79" t="s">
        <v>124</v>
      </c>
      <c r="D100" s="7">
        <v>1.58</v>
      </c>
      <c r="E100" s="80">
        <f t="shared" si="46"/>
        <v>0.63291139240506322</v>
      </c>
      <c r="F100" s="6">
        <f t="shared" si="47"/>
        <v>0.43291139240506321</v>
      </c>
      <c r="G100" s="52">
        <v>2.3199999999999998</v>
      </c>
      <c r="H100" s="1">
        <v>1</v>
      </c>
      <c r="I100" s="1" t="s">
        <v>10</v>
      </c>
      <c r="J100" s="26">
        <f t="shared" si="54"/>
        <v>-1</v>
      </c>
      <c r="K100" s="27">
        <f t="shared" si="55"/>
        <v>-55.55</v>
      </c>
    </row>
    <row r="101" spans="2:11" x14ac:dyDescent="0.3">
      <c r="B101" s="3">
        <v>97</v>
      </c>
      <c r="C101" s="79" t="s">
        <v>105</v>
      </c>
      <c r="D101" s="7">
        <v>1.55</v>
      </c>
      <c r="E101" s="80">
        <f t="shared" si="46"/>
        <v>0.64516129032258063</v>
      </c>
      <c r="F101" s="6">
        <f t="shared" si="47"/>
        <v>0.44516129032258062</v>
      </c>
      <c r="G101" s="52">
        <v>2.2599999999999998</v>
      </c>
      <c r="H101" s="1">
        <v>1</v>
      </c>
      <c r="I101" s="1" t="s">
        <v>10</v>
      </c>
      <c r="J101" s="26">
        <f t="shared" si="54"/>
        <v>-1</v>
      </c>
      <c r="K101" s="27">
        <f t="shared" si="55"/>
        <v>-55.55</v>
      </c>
    </row>
    <row r="102" spans="2:11" x14ac:dyDescent="0.3">
      <c r="B102" s="93"/>
      <c r="C102" s="79" t="s">
        <v>126</v>
      </c>
      <c r="D102" s="7" t="s">
        <v>127</v>
      </c>
      <c r="E102" s="94"/>
      <c r="F102" s="95"/>
      <c r="G102" s="52">
        <v>2</v>
      </c>
      <c r="H102" s="96"/>
      <c r="I102" s="96"/>
      <c r="J102" s="97"/>
      <c r="K102" s="98"/>
    </row>
    <row r="103" spans="2:11" x14ac:dyDescent="0.3">
      <c r="B103" s="3">
        <v>98</v>
      </c>
      <c r="C103" s="79" t="s">
        <v>109</v>
      </c>
      <c r="D103" s="7">
        <v>1.1200000000000001</v>
      </c>
      <c r="E103" s="80">
        <f t="shared" si="46"/>
        <v>0.89285714285714279</v>
      </c>
      <c r="F103" s="6">
        <f>MIN(E103-0.2,0.5)</f>
        <v>0.5</v>
      </c>
      <c r="G103" s="52">
        <f>1/F103</f>
        <v>2</v>
      </c>
      <c r="H103" s="1">
        <v>0</v>
      </c>
      <c r="I103" s="92" t="s">
        <v>7</v>
      </c>
      <c r="J103" s="26">
        <f t="shared" ref="J102:J105" si="56">IF(H103=0,0,IF(I103="WON",(G103*0.94-1),-1))</f>
        <v>0</v>
      </c>
      <c r="K103" s="27">
        <f t="shared" ref="K102:K105" si="57">J103*J$3</f>
        <v>0</v>
      </c>
    </row>
    <row r="104" spans="2:11" x14ac:dyDescent="0.3">
      <c r="B104" s="3">
        <v>99</v>
      </c>
      <c r="C104" s="79" t="s">
        <v>41</v>
      </c>
      <c r="D104" s="7">
        <v>1.1100000000000001</v>
      </c>
      <c r="E104" s="80">
        <f t="shared" si="46"/>
        <v>0.9009009009009008</v>
      </c>
      <c r="F104" s="6">
        <f>MIN(E104-0.2,0.5)</f>
        <v>0.5</v>
      </c>
      <c r="G104" s="52">
        <v>2</v>
      </c>
      <c r="H104" s="1">
        <v>0</v>
      </c>
      <c r="I104" s="92" t="s">
        <v>7</v>
      </c>
      <c r="J104" s="26">
        <f t="shared" si="56"/>
        <v>0</v>
      </c>
      <c r="K104" s="27">
        <f t="shared" si="57"/>
        <v>0</v>
      </c>
    </row>
    <row r="105" spans="2:11" x14ac:dyDescent="0.3">
      <c r="B105" s="3">
        <v>100</v>
      </c>
      <c r="C105" s="79" t="s">
        <v>129</v>
      </c>
      <c r="D105" s="7">
        <v>1.6</v>
      </c>
      <c r="E105" s="80">
        <f t="shared" si="46"/>
        <v>0.625</v>
      </c>
      <c r="F105" s="6">
        <f>MIN(E105-0.2,0.5)</f>
        <v>0.42499999999999999</v>
      </c>
      <c r="G105" s="52">
        <v>2.36</v>
      </c>
      <c r="H105" s="1">
        <v>1</v>
      </c>
      <c r="I105" s="92" t="s">
        <v>7</v>
      </c>
      <c r="J105" s="26">
        <f t="shared" si="56"/>
        <v>1.2183999999999999</v>
      </c>
      <c r="K105" s="27">
        <f t="shared" si="57"/>
        <v>67.682119999999998</v>
      </c>
    </row>
    <row r="106" spans="2:11" x14ac:dyDescent="0.3">
      <c r="B106" s="3">
        <v>101</v>
      </c>
      <c r="C106" s="79" t="s">
        <v>130</v>
      </c>
      <c r="D106" s="7">
        <v>1.72</v>
      </c>
      <c r="E106" s="80">
        <f t="shared" ref="E106:E109" si="58">1/D106</f>
        <v>0.58139534883720934</v>
      </c>
      <c r="F106" s="6">
        <f t="shared" ref="F106:F109" si="59">MIN(E106-0.2,0.5)</f>
        <v>0.38139534883720932</v>
      </c>
      <c r="G106" s="52">
        <f>1/F106</f>
        <v>2.6219512195121948</v>
      </c>
      <c r="H106" s="1">
        <v>0</v>
      </c>
      <c r="J106" s="26">
        <f t="shared" ref="J106:J109" si="60">IF(H106=0,0,IF(I106="WON",(G106*0.94-1),-1))</f>
        <v>0</v>
      </c>
      <c r="K106" s="27">
        <f t="shared" ref="K106:K109" si="61">J106*J$3</f>
        <v>0</v>
      </c>
    </row>
    <row r="107" spans="2:11" x14ac:dyDescent="0.3">
      <c r="B107" s="3">
        <v>102</v>
      </c>
      <c r="C107" s="79" t="s">
        <v>100</v>
      </c>
      <c r="D107" s="7">
        <v>2</v>
      </c>
      <c r="E107" s="80">
        <f t="shared" si="58"/>
        <v>0.5</v>
      </c>
      <c r="F107" s="6">
        <f t="shared" si="59"/>
        <v>0.3</v>
      </c>
      <c r="G107" s="52">
        <v>3.35</v>
      </c>
      <c r="H107" s="1">
        <v>0</v>
      </c>
      <c r="J107" s="26">
        <f t="shared" si="60"/>
        <v>0</v>
      </c>
      <c r="K107" s="27">
        <f t="shared" si="61"/>
        <v>0</v>
      </c>
    </row>
    <row r="108" spans="2:11" x14ac:dyDescent="0.3">
      <c r="B108" s="3">
        <v>103</v>
      </c>
      <c r="C108" s="79" t="s">
        <v>131</v>
      </c>
      <c r="D108" s="7">
        <v>1.56</v>
      </c>
      <c r="E108" s="80">
        <f t="shared" si="58"/>
        <v>0.64102564102564097</v>
      </c>
      <c r="F108" s="6">
        <f t="shared" si="59"/>
        <v>0.44102564102564096</v>
      </c>
      <c r="G108" s="52">
        <v>2.2799999999999998</v>
      </c>
      <c r="H108" s="1">
        <v>0</v>
      </c>
      <c r="J108" s="26">
        <f t="shared" si="60"/>
        <v>0</v>
      </c>
      <c r="K108" s="27">
        <f t="shared" si="61"/>
        <v>0</v>
      </c>
    </row>
    <row r="109" spans="2:11" x14ac:dyDescent="0.3">
      <c r="B109" s="3">
        <v>104</v>
      </c>
      <c r="C109" s="79" t="s">
        <v>53</v>
      </c>
      <c r="D109" s="7">
        <v>1.75</v>
      </c>
      <c r="E109" s="80">
        <f>1/D109</f>
        <v>0.5714285714285714</v>
      </c>
      <c r="F109" s="6">
        <f>MIN(E109-0.2,0.5)</f>
        <v>0.37142857142857139</v>
      </c>
      <c r="G109" s="52">
        <v>2.7</v>
      </c>
      <c r="H109" s="1">
        <v>1</v>
      </c>
      <c r="J109" s="26">
        <f t="shared" si="60"/>
        <v>-1</v>
      </c>
      <c r="K109" s="27">
        <f t="shared" si="61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2026-06-01T13:43:32Z</dcterms:modified>
</cp:coreProperties>
</file>