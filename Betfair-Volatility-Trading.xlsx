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E9356D2F-7ECF-487A-9525-8DCE20BD9E1B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2" l="1"/>
  <c r="J19" i="2" s="1"/>
  <c r="K19" i="2" s="1"/>
  <c r="E13" i="2"/>
  <c r="F13" i="2"/>
  <c r="G13" i="2" s="1"/>
  <c r="J13" i="2" s="1"/>
  <c r="K13" i="2" s="1"/>
  <c r="E14" i="2"/>
  <c r="F14" i="2"/>
  <c r="G14" i="2" s="1"/>
  <c r="J14" i="2" s="1"/>
  <c r="K14" i="2" s="1"/>
  <c r="E15" i="2"/>
  <c r="F15" i="2" s="1"/>
  <c r="G15" i="2" s="1"/>
  <c r="J15" i="2" s="1"/>
  <c r="K15" i="2" s="1"/>
  <c r="E16" i="2"/>
  <c r="F16" i="2"/>
  <c r="G16" i="2" s="1"/>
  <c r="J16" i="2" s="1"/>
  <c r="K16" i="2" s="1"/>
  <c r="E17" i="2"/>
  <c r="F17" i="2"/>
  <c r="G17" i="2" s="1"/>
  <c r="J17" i="2" s="1"/>
  <c r="K17" i="2" s="1"/>
  <c r="E18" i="2"/>
  <c r="F18" i="2"/>
  <c r="G18" i="2" s="1"/>
  <c r="J18" i="2" s="1"/>
  <c r="K18" i="2" s="1"/>
  <c r="E19" i="2"/>
  <c r="F19" i="2"/>
  <c r="J12" i="11"/>
  <c r="K12" i="11" s="1"/>
  <c r="E12" i="11"/>
  <c r="F12" i="11" s="1"/>
  <c r="G12" i="11" s="1"/>
  <c r="J11" i="11"/>
  <c r="K11" i="11" s="1"/>
  <c r="E11" i="11"/>
  <c r="F11" i="11" s="1"/>
  <c r="G11" i="11" s="1"/>
  <c r="J10" i="11"/>
  <c r="K10" i="11" s="1"/>
  <c r="E10" i="11"/>
  <c r="F10" i="11" s="1"/>
  <c r="G10" i="11" s="1"/>
  <c r="J9" i="11"/>
  <c r="K9" i="11" s="1"/>
  <c r="E9" i="11"/>
  <c r="F9" i="11" s="1"/>
  <c r="G9" i="11" s="1"/>
  <c r="J8" i="11"/>
  <c r="K8" i="11" s="1"/>
  <c r="E8" i="11"/>
  <c r="F8" i="11" s="1"/>
  <c r="G8" i="11" s="1"/>
  <c r="J7" i="11"/>
  <c r="K7" i="11" s="1"/>
  <c r="E7" i="11"/>
  <c r="F7" i="11" s="1"/>
  <c r="G7" i="11" s="1"/>
  <c r="J6" i="11"/>
  <c r="K6" i="11" s="1"/>
  <c r="E6" i="11"/>
  <c r="F6" i="11" s="1"/>
  <c r="G6" i="11" s="1"/>
  <c r="J5" i="11"/>
  <c r="K5" i="11" s="1"/>
  <c r="E5" i="11"/>
  <c r="F5" i="11" s="1"/>
  <c r="G5" i="11" s="1"/>
  <c r="J12" i="10"/>
  <c r="K12" i="10" s="1"/>
  <c r="E12" i="10"/>
  <c r="F12" i="10" s="1"/>
  <c r="G12" i="10" s="1"/>
  <c r="J11" i="10"/>
  <c r="K11" i="10" s="1"/>
  <c r="E11" i="10"/>
  <c r="F11" i="10" s="1"/>
  <c r="G11" i="10" s="1"/>
  <c r="J10" i="10"/>
  <c r="K10" i="10" s="1"/>
  <c r="E10" i="10"/>
  <c r="F10" i="10" s="1"/>
  <c r="G10" i="10" s="1"/>
  <c r="J9" i="10"/>
  <c r="K9" i="10" s="1"/>
  <c r="E9" i="10"/>
  <c r="F9" i="10" s="1"/>
  <c r="G9" i="10" s="1"/>
  <c r="J8" i="10"/>
  <c r="K8" i="10" s="1"/>
  <c r="E8" i="10"/>
  <c r="F8" i="10" s="1"/>
  <c r="G8" i="10" s="1"/>
  <c r="J7" i="10"/>
  <c r="K7" i="10" s="1"/>
  <c r="E7" i="10"/>
  <c r="F7" i="10" s="1"/>
  <c r="G7" i="10" s="1"/>
  <c r="J6" i="10"/>
  <c r="K6" i="10" s="1"/>
  <c r="E6" i="10"/>
  <c r="F6" i="10" s="1"/>
  <c r="G6" i="10" s="1"/>
  <c r="J5" i="10"/>
  <c r="K5" i="10" s="1"/>
  <c r="E5" i="10"/>
  <c r="F5" i="10" s="1"/>
  <c r="G5" i="10" s="1"/>
  <c r="J12" i="9"/>
  <c r="K12" i="9" s="1"/>
  <c r="E12" i="9"/>
  <c r="F12" i="9" s="1"/>
  <c r="G12" i="9" s="1"/>
  <c r="J11" i="9"/>
  <c r="K11" i="9" s="1"/>
  <c r="E11" i="9"/>
  <c r="F11" i="9" s="1"/>
  <c r="G11" i="9" s="1"/>
  <c r="J10" i="9"/>
  <c r="K10" i="9" s="1"/>
  <c r="E10" i="9"/>
  <c r="F10" i="9" s="1"/>
  <c r="G10" i="9" s="1"/>
  <c r="J9" i="9"/>
  <c r="K9" i="9" s="1"/>
  <c r="E9" i="9"/>
  <c r="F9" i="9" s="1"/>
  <c r="G9" i="9" s="1"/>
  <c r="J8" i="9"/>
  <c r="K8" i="9" s="1"/>
  <c r="E8" i="9"/>
  <c r="F8" i="9" s="1"/>
  <c r="G8" i="9" s="1"/>
  <c r="J7" i="9"/>
  <c r="K7" i="9" s="1"/>
  <c r="E7" i="9"/>
  <c r="F7" i="9" s="1"/>
  <c r="G7" i="9" s="1"/>
  <c r="J6" i="9"/>
  <c r="K6" i="9" s="1"/>
  <c r="E6" i="9"/>
  <c r="F6" i="9" s="1"/>
  <c r="G6" i="9" s="1"/>
  <c r="J5" i="9"/>
  <c r="K5" i="9" s="1"/>
  <c r="E5" i="9"/>
  <c r="F5" i="9" s="1"/>
  <c r="G5" i="9" s="1"/>
  <c r="E12" i="2"/>
  <c r="F12" i="2" s="1"/>
  <c r="G12" i="2" s="1"/>
  <c r="J12" i="2" s="1"/>
  <c r="K12" i="2" s="1"/>
  <c r="E11" i="2"/>
  <c r="F11" i="2" s="1"/>
  <c r="G11" i="2" s="1"/>
  <c r="J11" i="2" s="1"/>
  <c r="K11" i="2" s="1"/>
  <c r="E10" i="2"/>
  <c r="F10" i="2" s="1"/>
  <c r="G10" i="2" s="1"/>
  <c r="J10" i="2" s="1"/>
  <c r="K10" i="2" s="1"/>
  <c r="E9" i="2"/>
  <c r="F9" i="2" s="1"/>
  <c r="G9" i="2" s="1"/>
  <c r="J9" i="2" s="1"/>
  <c r="K9" i="2" s="1"/>
  <c r="E8" i="2"/>
  <c r="F8" i="2" s="1"/>
  <c r="G8" i="2" s="1"/>
  <c r="J8" i="2" s="1"/>
  <c r="K8" i="2" s="1"/>
  <c r="E7" i="2"/>
  <c r="F7" i="2" s="1"/>
  <c r="G7" i="2" s="1"/>
  <c r="J7" i="2" s="1"/>
  <c r="K7" i="2" s="1"/>
  <c r="E6" i="2"/>
  <c r="F6" i="2" s="1"/>
  <c r="G6" i="2" s="1"/>
  <c r="J6" i="2" s="1"/>
  <c r="K6" i="2" s="1"/>
  <c r="J5" i="2"/>
  <c r="K5" i="2" s="1"/>
  <c r="E5" i="2"/>
  <c r="F5" i="2" s="1"/>
  <c r="G5" i="2" s="1"/>
  <c r="J7" i="1"/>
  <c r="K7" i="1" s="1"/>
  <c r="J8" i="1"/>
  <c r="K8" i="1" s="1"/>
  <c r="J9" i="1"/>
  <c r="K9" i="1" s="1"/>
  <c r="J10" i="1"/>
  <c r="K10" i="1" s="1"/>
  <c r="J11" i="1"/>
  <c r="K11" i="1" s="1"/>
  <c r="J5" i="1"/>
  <c r="K5" i="1" s="1"/>
  <c r="E7" i="1"/>
  <c r="F7" i="1" s="1"/>
  <c r="E8" i="1"/>
  <c r="F8" i="1"/>
  <c r="G8" i="1" s="1"/>
  <c r="E9" i="1"/>
  <c r="F9" i="1" s="1"/>
  <c r="G9" i="1" s="1"/>
  <c r="E10" i="1"/>
  <c r="F10" i="1" s="1"/>
  <c r="G10" i="1" s="1"/>
  <c r="E11" i="1"/>
  <c r="F11" i="1" s="1"/>
  <c r="G11" i="1" s="1"/>
  <c r="E12" i="1"/>
  <c r="F12" i="1" s="1"/>
  <c r="G12" i="1" s="1"/>
  <c r="J12" i="1" s="1"/>
  <c r="K12" i="1" s="1"/>
  <c r="E6" i="1"/>
  <c r="F6" i="1" s="1"/>
  <c r="G6" i="1" s="1"/>
  <c r="J6" i="1" s="1"/>
  <c r="K6" i="1" s="1"/>
  <c r="E5" i="1"/>
  <c r="F5" i="1" s="1"/>
  <c r="G5" i="1" s="1"/>
</calcChain>
</file>

<file path=xl/sharedStrings.xml><?xml version="1.0" encoding="utf-8"?>
<sst xmlns="http://schemas.openxmlformats.org/spreadsheetml/2006/main" count="113" uniqueCount="41">
  <si>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</si>
  <si>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</si>
  <si>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</si>
  <si>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</si>
  <si>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</si>
  <si>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</si>
  <si>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</si>
  <si>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</si>
  <si>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</si>
  <si>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</si>
  <si>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</si>
  <si>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</si>
  <si>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</si>
  <si>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Brisbane</t>
  </si>
  <si>
    <t>Carlton</t>
  </si>
  <si>
    <t>Team</t>
  </si>
  <si>
    <t>No NFL Games Yet</t>
  </si>
  <si>
    <t>Tennis Player 1</t>
  </si>
  <si>
    <t>Tennis Player 2</t>
  </si>
  <si>
    <t>Tennis Player 3</t>
  </si>
  <si>
    <t>Tennis Player 4</t>
  </si>
  <si>
    <t>Tennis Player 5</t>
  </si>
  <si>
    <t>Tennis Player 6</t>
  </si>
  <si>
    <t>Tennis Player 7</t>
  </si>
  <si>
    <t>Tennis Player 8</t>
  </si>
  <si>
    <t>Tennis Player 9</t>
  </si>
  <si>
    <t>Tennis Player 10</t>
  </si>
  <si>
    <t>Tennis Player 11</t>
  </si>
  <si>
    <t>Tennis Player 12</t>
  </si>
  <si>
    <t>Tennis Player 13</t>
  </si>
  <si>
    <t>Tennis Player 14</t>
  </si>
  <si>
    <t>Tennis Player 15</t>
  </si>
  <si>
    <t>Cricket Player 1</t>
  </si>
  <si>
    <t>Cricket Player 2</t>
  </si>
  <si>
    <t>Cricket Player 3</t>
  </si>
  <si>
    <t>Cricket Player 4</t>
  </si>
  <si>
    <t>Cricket Player 5</t>
  </si>
  <si>
    <t>Team 1</t>
  </si>
  <si>
    <t>Team 2</t>
  </si>
  <si>
    <t>Team 3</t>
  </si>
  <si>
    <t>Fremantle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</si>
</sst>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 applyBorder="1" applyAlignment="1">
      <alignment horizontal="center"/>
    </xf>
    <xf numFmtId="2" fontId="3" fillId="6" borderId="0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3" fillId="7" borderId="0" xfId="0" applyNumberFormat="1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12"/>
  <sheetViews>
    <sheetView tabSelected="1" zoomScale="178" workbookViewId="0">
      <pane ySplit="4" topLeftCell="A5" activePane="bottomLeft" state="frozen"/>
      <selection pane="bottomLeft" activeCell="I8" sqref="I8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10</v>
      </c>
      <c r="C2"/>
    </row>
    <row r="3" spans="2:11" ht="15" thickBot="1" x14ac:dyDescent="0.35"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15</v>
      </c>
      <c r="D4" s="19" t="s">
        <v>2</v>
      </c>
      <c r="E4" s="15" t="s">
        <v>3</v>
      </c>
      <c r="F4" s="20" t="s">
        <v>4</v>
      </c>
      <c r="G4" s="21" t="s">
        <v>5</v>
      </c>
      <c r="H4" s="21" t="s">
        <v>1</v>
      </c>
      <c r="I4" s="22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2" t="s">
        <v>13</v>
      </c>
      <c r="D5" s="23">
        <v>1.34</v>
      </c>
      <c r="E5" s="24">
        <f>1/D5</f>
        <v>0.74626865671641784</v>
      </c>
      <c r="F5" s="25">
        <f>E5-0.2</f>
        <v>0.54626865671641789</v>
      </c>
      <c r="G5" s="26">
        <f>1/F5</f>
        <v>1.8306010928961749</v>
      </c>
      <c r="H5" s="27">
        <v>0</v>
      </c>
      <c r="I5" s="27" t="s">
        <v>7</v>
      </c>
      <c r="J5" s="32">
        <f>IF(H5=0,0,IF(I5="WON",(G5-1)*0.95,-1))</f>
        <v>0</v>
      </c>
      <c r="K5" s="33">
        <f>J5*J$3</f>
        <v>0</v>
      </c>
    </row>
    <row r="6" spans="2:11" x14ac:dyDescent="0.3">
      <c r="B6" s="3">
        <v>2</v>
      </c>
      <c r="C6" s="3" t="s">
        <v>14</v>
      </c>
      <c r="D6" s="5">
        <v>1.77</v>
      </c>
      <c r="E6" s="6">
        <f>1/D6</f>
        <v>0.56497175141242939</v>
      </c>
      <c r="F6" s="7">
        <f>E6-0.2</f>
        <v>0.36497175141242938</v>
      </c>
      <c r="G6" s="28">
        <f>1/F6</f>
        <v>2.7399380804953561</v>
      </c>
      <c r="H6" s="29">
        <v>0</v>
      </c>
      <c r="I6" s="30" t="s">
        <v>7</v>
      </c>
      <c r="J6" s="34">
        <f t="shared" ref="J6:J12" si="0">IF(H6=0,0,IF(I6="WON",(G6-1)*0.95,-1))</f>
        <v>0</v>
      </c>
      <c r="K6" s="35">
        <f t="shared" ref="K6:K12" si="1">J6*J$3</f>
        <v>0</v>
      </c>
    </row>
    <row r="7" spans="2:11" x14ac:dyDescent="0.3">
      <c r="B7" s="3">
        <v>3</v>
      </c>
      <c r="C7" s="3" t="s">
        <v>40</v>
      </c>
      <c r="D7" s="5">
        <v>1.91</v>
      </c>
      <c r="E7" s="6">
        <f t="shared" ref="E7:E12" si="2">1/D7</f>
        <v>0.52356020942408377</v>
      </c>
      <c r="F7" s="7">
        <f t="shared" ref="F7:F12" si="3">E7-0.2</f>
        <v>0.32356020942408376</v>
      </c>
      <c r="G7" s="28">
        <v>3.1</v>
      </c>
      <c r="H7" s="29">
        <v>1</v>
      </c>
      <c r="I7" s="30" t="s">
        <v>11</v>
      </c>
      <c r="J7" s="34">
        <f t="shared" si="0"/>
        <v>-1</v>
      </c>
      <c r="K7" s="35">
        <f t="shared" si="1"/>
        <v>-55.55</v>
      </c>
    </row>
    <row r="8" spans="2:11" x14ac:dyDescent="0.3">
      <c r="B8" s="3">
        <v>4</v>
      </c>
      <c r="C8" s="3"/>
      <c r="D8" s="5">
        <v>1.52</v>
      </c>
      <c r="E8" s="6">
        <f t="shared" si="2"/>
        <v>0.65789473684210531</v>
      </c>
      <c r="F8" s="7">
        <f t="shared" si="3"/>
        <v>0.4578947368421053</v>
      </c>
      <c r="G8" s="28">
        <f t="shared" ref="G7:G12" si="4">1/F8</f>
        <v>2.1839080459770113</v>
      </c>
      <c r="H8" s="29"/>
      <c r="I8" s="30"/>
      <c r="J8" s="34">
        <f t="shared" si="0"/>
        <v>0</v>
      </c>
      <c r="K8" s="35">
        <f t="shared" si="1"/>
        <v>0</v>
      </c>
    </row>
    <row r="9" spans="2:11" x14ac:dyDescent="0.3">
      <c r="B9" s="3">
        <v>5</v>
      </c>
      <c r="C9" s="3"/>
      <c r="D9" s="5">
        <v>1.21</v>
      </c>
      <c r="E9" s="6">
        <f t="shared" si="2"/>
        <v>0.82644628099173556</v>
      </c>
      <c r="F9" s="7">
        <f t="shared" si="3"/>
        <v>0.62644628099173549</v>
      </c>
      <c r="G9" s="28">
        <f t="shared" si="4"/>
        <v>1.5963060686015833</v>
      </c>
      <c r="H9" s="29"/>
      <c r="I9" s="30"/>
      <c r="J9" s="34">
        <f t="shared" si="0"/>
        <v>0</v>
      </c>
      <c r="K9" s="35">
        <f t="shared" si="1"/>
        <v>0</v>
      </c>
    </row>
    <row r="10" spans="2:11" x14ac:dyDescent="0.3">
      <c r="B10" s="3">
        <v>6</v>
      </c>
      <c r="C10" s="3"/>
      <c r="D10" s="5">
        <v>1.37</v>
      </c>
      <c r="E10" s="6">
        <f t="shared" si="2"/>
        <v>0.72992700729927007</v>
      </c>
      <c r="F10" s="7">
        <f t="shared" si="3"/>
        <v>0.52992700729927011</v>
      </c>
      <c r="G10" s="28">
        <f t="shared" si="4"/>
        <v>1.887052341597796</v>
      </c>
      <c r="H10" s="29"/>
      <c r="I10" s="30"/>
      <c r="J10" s="34">
        <f t="shared" si="0"/>
        <v>0</v>
      </c>
      <c r="K10" s="35">
        <f t="shared" si="1"/>
        <v>0</v>
      </c>
    </row>
    <row r="11" spans="2:11" x14ac:dyDescent="0.3">
      <c r="B11" s="3">
        <v>7</v>
      </c>
      <c r="C11" s="3"/>
      <c r="D11" s="5">
        <v>1.02</v>
      </c>
      <c r="E11" s="6">
        <f t="shared" si="2"/>
        <v>0.98039215686274506</v>
      </c>
      <c r="F11" s="7">
        <f t="shared" si="3"/>
        <v>0.78039215686274499</v>
      </c>
      <c r="G11" s="28">
        <f t="shared" si="4"/>
        <v>1.2814070351758795</v>
      </c>
      <c r="H11" s="29"/>
      <c r="I11" s="30"/>
      <c r="J11" s="34">
        <f t="shared" si="0"/>
        <v>0</v>
      </c>
      <c r="K11" s="35">
        <f t="shared" si="1"/>
        <v>0</v>
      </c>
    </row>
    <row r="12" spans="2:11" ht="15" thickBot="1" x14ac:dyDescent="0.35">
      <c r="B12" s="4">
        <v>8</v>
      </c>
      <c r="C12" s="4"/>
      <c r="D12" s="13">
        <v>1.64</v>
      </c>
      <c r="E12" s="8">
        <f t="shared" si="2"/>
        <v>0.6097560975609756</v>
      </c>
      <c r="F12" s="12">
        <f t="shared" si="3"/>
        <v>0.40975609756097559</v>
      </c>
      <c r="G12" s="14">
        <f t="shared" si="4"/>
        <v>2.4404761904761907</v>
      </c>
      <c r="H12" s="11"/>
      <c r="I12" s="11"/>
      <c r="J12" s="36">
        <f t="shared" si="0"/>
        <v>0</v>
      </c>
      <c r="K12" s="37">
        <f t="shared" si="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K19"/>
  <sheetViews>
    <sheetView zoomScale="165" workbookViewId="0">
      <selection activeCell="C5" sqref="C5:D9"/>
    </sheetView>
  </sheetViews>
  <sheetFormatPr defaultRowHeight="14.4" x14ac:dyDescent="0.3"/>
  <cols>
    <col min="3" max="3" width="14.332031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15</v>
      </c>
      <c r="D4" s="19" t="s">
        <v>2</v>
      </c>
      <c r="E4" s="15" t="s">
        <v>3</v>
      </c>
      <c r="F4" s="20" t="s">
        <v>4</v>
      </c>
      <c r="G4" s="21" t="s">
        <v>5</v>
      </c>
      <c r="H4" s="21" t="s">
        <v>1</v>
      </c>
      <c r="I4" s="22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41" t="s">
        <v>17</v>
      </c>
      <c r="D5" s="42">
        <v>2</v>
      </c>
      <c r="E5" s="24">
        <f>1/D5</f>
        <v>0.5</v>
      </c>
      <c r="F5" s="25">
        <f>E5-0.2</f>
        <v>0.3</v>
      </c>
      <c r="G5" s="26">
        <f>1/F5</f>
        <v>3.3333333333333335</v>
      </c>
      <c r="H5" s="41">
        <v>0</v>
      </c>
      <c r="I5" s="42" t="s">
        <v>7</v>
      </c>
      <c r="J5" s="17">
        <f>IF(H5=0,0,IF(I5="WON",(G5-1)*0.95,-1))</f>
        <v>0</v>
      </c>
      <c r="K5" s="33">
        <f>J5*J$3</f>
        <v>0</v>
      </c>
    </row>
    <row r="6" spans="2:11" x14ac:dyDescent="0.3">
      <c r="B6" s="3">
        <v>2</v>
      </c>
      <c r="C6" s="43" t="s">
        <v>18</v>
      </c>
      <c r="D6" s="44">
        <v>1.65</v>
      </c>
      <c r="E6" s="6">
        <f>1/D6</f>
        <v>0.60606060606060608</v>
      </c>
      <c r="F6" s="7">
        <f>E6-0.2</f>
        <v>0.40606060606060607</v>
      </c>
      <c r="G6" s="49">
        <f>1/F6</f>
        <v>2.4626865671641789</v>
      </c>
      <c r="H6" s="43">
        <v>1</v>
      </c>
      <c r="I6" s="44" t="s">
        <v>7</v>
      </c>
      <c r="J6" s="31">
        <f t="shared" ref="J6:J12" si="0">IF(H6=0,0,IF(I6="WON",(G6-1)*0.95,-1))</f>
        <v>1.3895522388059698</v>
      </c>
      <c r="K6" s="35">
        <f t="shared" ref="K6:K19" si="1">J6*J$3</f>
        <v>77.189626865671613</v>
      </c>
    </row>
    <row r="7" spans="2:11" x14ac:dyDescent="0.3">
      <c r="B7" s="3">
        <v>3</v>
      </c>
      <c r="C7" s="43" t="s">
        <v>19</v>
      </c>
      <c r="D7" s="44">
        <v>1.2</v>
      </c>
      <c r="E7" s="6">
        <f t="shared" ref="E7:E12" si="2">1/D7</f>
        <v>0.83333333333333337</v>
      </c>
      <c r="F7" s="7">
        <f t="shared" ref="F7:F12" si="3">E7-0.2</f>
        <v>0.6333333333333333</v>
      </c>
      <c r="G7" s="49">
        <f t="shared" ref="G7:G19" si="4">1/F7</f>
        <v>1.5789473684210527</v>
      </c>
      <c r="H7" s="43">
        <v>1</v>
      </c>
      <c r="I7" s="44" t="s">
        <v>11</v>
      </c>
      <c r="J7" s="31">
        <f t="shared" si="0"/>
        <v>-1</v>
      </c>
      <c r="K7" s="35">
        <f t="shared" si="1"/>
        <v>-55.55</v>
      </c>
    </row>
    <row r="8" spans="2:11" x14ac:dyDescent="0.3">
      <c r="B8" s="3">
        <v>4</v>
      </c>
      <c r="C8" s="43" t="s">
        <v>20</v>
      </c>
      <c r="D8" s="44">
        <v>1.43</v>
      </c>
      <c r="E8" s="6">
        <f t="shared" si="2"/>
        <v>0.69930069930069938</v>
      </c>
      <c r="F8" s="7">
        <f t="shared" si="3"/>
        <v>0.49930069930069937</v>
      </c>
      <c r="G8" s="49">
        <f t="shared" si="4"/>
        <v>2.0028011204481788</v>
      </c>
      <c r="H8" s="43">
        <v>0</v>
      </c>
      <c r="I8" s="44" t="s">
        <v>7</v>
      </c>
      <c r="J8" s="31">
        <f t="shared" si="0"/>
        <v>0</v>
      </c>
      <c r="K8" s="35">
        <f t="shared" si="1"/>
        <v>0</v>
      </c>
    </row>
    <row r="9" spans="2:11" x14ac:dyDescent="0.3">
      <c r="B9" s="3">
        <v>5</v>
      </c>
      <c r="C9" s="43" t="s">
        <v>21</v>
      </c>
      <c r="D9" s="44">
        <v>1.01</v>
      </c>
      <c r="E9" s="6">
        <f t="shared" si="2"/>
        <v>0.99009900990099009</v>
      </c>
      <c r="F9" s="7">
        <f t="shared" si="3"/>
        <v>0.79009900990099013</v>
      </c>
      <c r="G9" s="49">
        <f t="shared" si="4"/>
        <v>1.2656641604010024</v>
      </c>
      <c r="H9" s="43">
        <v>1</v>
      </c>
      <c r="I9" s="44" t="s">
        <v>7</v>
      </c>
      <c r="J9" s="31">
        <f t="shared" si="0"/>
        <v>0.25238095238095226</v>
      </c>
      <c r="K9" s="35">
        <f t="shared" si="1"/>
        <v>14.019761904761898</v>
      </c>
    </row>
    <row r="10" spans="2:11" x14ac:dyDescent="0.3">
      <c r="B10" s="3">
        <v>6</v>
      </c>
      <c r="C10" s="43" t="s">
        <v>22</v>
      </c>
      <c r="D10" s="44">
        <v>1.2</v>
      </c>
      <c r="E10" s="6">
        <f t="shared" si="2"/>
        <v>0.83333333333333337</v>
      </c>
      <c r="F10" s="7">
        <f t="shared" si="3"/>
        <v>0.6333333333333333</v>
      </c>
      <c r="G10" s="49">
        <f t="shared" si="4"/>
        <v>1.5789473684210527</v>
      </c>
      <c r="H10" s="43">
        <v>1</v>
      </c>
      <c r="I10" s="44" t="s">
        <v>11</v>
      </c>
      <c r="J10" s="31">
        <f t="shared" si="0"/>
        <v>-1</v>
      </c>
      <c r="K10" s="35">
        <f t="shared" si="1"/>
        <v>-55.55</v>
      </c>
    </row>
    <row r="11" spans="2:11" x14ac:dyDescent="0.3">
      <c r="B11" s="3">
        <v>7</v>
      </c>
      <c r="C11" s="43" t="s">
        <v>23</v>
      </c>
      <c r="D11" s="44">
        <v>1.41</v>
      </c>
      <c r="E11" s="6">
        <f t="shared" si="2"/>
        <v>0.70921985815602839</v>
      </c>
      <c r="F11" s="7">
        <f t="shared" si="3"/>
        <v>0.50921985815602833</v>
      </c>
      <c r="G11" s="49">
        <f t="shared" si="4"/>
        <v>1.9637883008356547</v>
      </c>
      <c r="H11" s="43">
        <v>1</v>
      </c>
      <c r="I11" s="44" t="s">
        <v>7</v>
      </c>
      <c r="J11" s="31">
        <f t="shared" si="0"/>
        <v>0.91559888579387194</v>
      </c>
      <c r="K11" s="35">
        <f t="shared" si="1"/>
        <v>50.861518105849584</v>
      </c>
    </row>
    <row r="12" spans="2:11" x14ac:dyDescent="0.3">
      <c r="B12" s="3">
        <v>8</v>
      </c>
      <c r="C12" s="43" t="s">
        <v>24</v>
      </c>
      <c r="D12" s="44">
        <v>1.87</v>
      </c>
      <c r="E12" s="6">
        <f t="shared" si="2"/>
        <v>0.53475935828876997</v>
      </c>
      <c r="F12" s="7">
        <f t="shared" si="3"/>
        <v>0.33475935828876996</v>
      </c>
      <c r="G12" s="49">
        <f t="shared" si="4"/>
        <v>2.9872204472843458</v>
      </c>
      <c r="H12" s="43">
        <v>1</v>
      </c>
      <c r="I12" s="44" t="s">
        <v>11</v>
      </c>
      <c r="J12" s="31">
        <f t="shared" si="0"/>
        <v>-1</v>
      </c>
      <c r="K12" s="35">
        <f t="shared" si="1"/>
        <v>-55.55</v>
      </c>
    </row>
    <row r="13" spans="2:11" x14ac:dyDescent="0.3">
      <c r="B13" s="3">
        <v>9</v>
      </c>
      <c r="C13" s="43" t="s">
        <v>25</v>
      </c>
      <c r="D13" s="44">
        <v>1.65</v>
      </c>
      <c r="E13" s="6">
        <f t="shared" ref="E13:E19" si="5">1/D13</f>
        <v>0.60606060606060608</v>
      </c>
      <c r="F13" s="7">
        <f t="shared" ref="F13:F19" si="6">E13-0.2</f>
        <v>0.40606060606060607</v>
      </c>
      <c r="G13" s="49">
        <f t="shared" si="4"/>
        <v>2.4626865671641789</v>
      </c>
      <c r="H13" s="43">
        <v>1</v>
      </c>
      <c r="I13" s="44" t="s">
        <v>7</v>
      </c>
      <c r="J13" s="31">
        <f t="shared" ref="J13:J19" si="7">IF(H13=0,0,IF(I13="WON",(G13-1)*0.95,-1))</f>
        <v>1.3895522388059698</v>
      </c>
      <c r="K13" s="35">
        <f t="shared" si="1"/>
        <v>77.189626865671613</v>
      </c>
    </row>
    <row r="14" spans="2:11" x14ac:dyDescent="0.3">
      <c r="B14" s="3">
        <v>10</v>
      </c>
      <c r="C14" s="43" t="s">
        <v>26</v>
      </c>
      <c r="D14" s="44">
        <v>1.32</v>
      </c>
      <c r="E14" s="6">
        <f t="shared" si="5"/>
        <v>0.75757575757575757</v>
      </c>
      <c r="F14" s="7">
        <f t="shared" si="6"/>
        <v>0.55757575757575761</v>
      </c>
      <c r="G14" s="49">
        <f t="shared" si="4"/>
        <v>1.7934782608695652</v>
      </c>
      <c r="H14" s="43">
        <v>0</v>
      </c>
      <c r="I14" s="44" t="s">
        <v>7</v>
      </c>
      <c r="J14" s="31">
        <f t="shared" si="7"/>
        <v>0</v>
      </c>
      <c r="K14" s="35">
        <f t="shared" si="1"/>
        <v>0</v>
      </c>
    </row>
    <row r="15" spans="2:11" x14ac:dyDescent="0.3">
      <c r="B15" s="3">
        <v>11</v>
      </c>
      <c r="C15" s="43" t="s">
        <v>27</v>
      </c>
      <c r="D15" s="44">
        <v>1.21</v>
      </c>
      <c r="E15" s="6">
        <f t="shared" si="5"/>
        <v>0.82644628099173556</v>
      </c>
      <c r="F15" s="7">
        <f t="shared" si="6"/>
        <v>0.62644628099173549</v>
      </c>
      <c r="G15" s="49">
        <f t="shared" si="4"/>
        <v>1.5963060686015833</v>
      </c>
      <c r="H15" s="43">
        <v>0</v>
      </c>
      <c r="I15" s="44" t="s">
        <v>7</v>
      </c>
      <c r="J15" s="31">
        <f t="shared" si="7"/>
        <v>0</v>
      </c>
      <c r="K15" s="35">
        <f t="shared" si="1"/>
        <v>0</v>
      </c>
    </row>
    <row r="16" spans="2:11" x14ac:dyDescent="0.3">
      <c r="B16" s="3">
        <v>12</v>
      </c>
      <c r="C16" s="43" t="s">
        <v>28</v>
      </c>
      <c r="D16" s="44">
        <v>1.1200000000000001</v>
      </c>
      <c r="E16" s="6">
        <f t="shared" si="5"/>
        <v>0.89285714285714279</v>
      </c>
      <c r="F16" s="7">
        <f t="shared" si="6"/>
        <v>0.69285714285714284</v>
      </c>
      <c r="G16" s="49">
        <f t="shared" si="4"/>
        <v>1.4432989690721649</v>
      </c>
      <c r="H16" s="43">
        <v>1</v>
      </c>
      <c r="I16" s="44" t="s">
        <v>11</v>
      </c>
      <c r="J16" s="31">
        <f t="shared" si="7"/>
        <v>-1</v>
      </c>
      <c r="K16" s="35">
        <f t="shared" si="1"/>
        <v>-55.55</v>
      </c>
    </row>
    <row r="17" spans="2:11" x14ac:dyDescent="0.3">
      <c r="B17" s="3">
        <v>13</v>
      </c>
      <c r="C17" s="43" t="s">
        <v>29</v>
      </c>
      <c r="D17" s="44">
        <v>1.04</v>
      </c>
      <c r="E17" s="6">
        <f t="shared" si="5"/>
        <v>0.96153846153846145</v>
      </c>
      <c r="F17" s="7">
        <f t="shared" si="6"/>
        <v>0.7615384615384615</v>
      </c>
      <c r="G17" s="49">
        <f t="shared" si="4"/>
        <v>1.3131313131313131</v>
      </c>
      <c r="H17" s="43">
        <v>1</v>
      </c>
      <c r="I17" s="44" t="s">
        <v>7</v>
      </c>
      <c r="J17" s="31">
        <f t="shared" si="7"/>
        <v>0.2974747474747475</v>
      </c>
      <c r="K17" s="35">
        <f t="shared" si="1"/>
        <v>16.524722222222223</v>
      </c>
    </row>
    <row r="18" spans="2:11" x14ac:dyDescent="0.3">
      <c r="B18" s="3">
        <v>14</v>
      </c>
      <c r="C18" s="43" t="s">
        <v>30</v>
      </c>
      <c r="D18" s="44">
        <v>1.02</v>
      </c>
      <c r="E18" s="6">
        <f t="shared" si="5"/>
        <v>0.98039215686274506</v>
      </c>
      <c r="F18" s="7">
        <f t="shared" si="6"/>
        <v>0.78039215686274499</v>
      </c>
      <c r="G18" s="49">
        <f t="shared" si="4"/>
        <v>1.2814070351758795</v>
      </c>
      <c r="H18" s="43">
        <v>0</v>
      </c>
      <c r="I18" s="44" t="s">
        <v>7</v>
      </c>
      <c r="J18" s="31">
        <f t="shared" si="7"/>
        <v>0</v>
      </c>
      <c r="K18" s="35">
        <f t="shared" si="1"/>
        <v>0</v>
      </c>
    </row>
    <row r="19" spans="2:11" ht="15" thickBot="1" x14ac:dyDescent="0.35">
      <c r="B19" s="4">
        <v>15</v>
      </c>
      <c r="C19" s="45" t="s">
        <v>31</v>
      </c>
      <c r="D19" s="46">
        <v>1.03</v>
      </c>
      <c r="E19" s="8">
        <f t="shared" si="5"/>
        <v>0.970873786407767</v>
      </c>
      <c r="F19" s="12">
        <f t="shared" si="6"/>
        <v>0.77087378640776705</v>
      </c>
      <c r="G19" s="14">
        <f t="shared" si="4"/>
        <v>1.2972292191435768</v>
      </c>
      <c r="H19" s="45">
        <v>1</v>
      </c>
      <c r="I19" s="46" t="s">
        <v>11</v>
      </c>
      <c r="J19" s="18">
        <f t="shared" si="7"/>
        <v>-1</v>
      </c>
      <c r="K19" s="37">
        <f t="shared" si="1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12"/>
  <sheetViews>
    <sheetView zoomScale="165" workbookViewId="0">
      <selection activeCell="I19" sqref="I19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15</v>
      </c>
      <c r="D4" s="19" t="s">
        <v>2</v>
      </c>
      <c r="E4" s="15" t="s">
        <v>3</v>
      </c>
      <c r="F4" s="20" t="s">
        <v>4</v>
      </c>
      <c r="G4" s="21" t="s">
        <v>5</v>
      </c>
      <c r="H4" s="21" t="s">
        <v>1</v>
      </c>
      <c r="I4" s="22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41" t="s">
        <v>32</v>
      </c>
      <c r="D5" s="42">
        <v>2</v>
      </c>
      <c r="E5" s="38">
        <f>1/D5</f>
        <v>0.5</v>
      </c>
      <c r="F5" s="25">
        <f>E5-0.2</f>
        <v>0.3</v>
      </c>
      <c r="G5" s="26">
        <f>1/F5</f>
        <v>3.3333333333333335</v>
      </c>
      <c r="H5" s="41">
        <v>0</v>
      </c>
      <c r="I5" s="42" t="s">
        <v>7</v>
      </c>
      <c r="J5" s="17">
        <f>IF(H5=0,0,IF(I5="WON",(G5-1)*0.95,-1))</f>
        <v>0</v>
      </c>
      <c r="K5" s="33">
        <f>J5*J$3</f>
        <v>0</v>
      </c>
    </row>
    <row r="6" spans="2:11" x14ac:dyDescent="0.3">
      <c r="B6" s="3">
        <v>2</v>
      </c>
      <c r="C6" s="43" t="s">
        <v>33</v>
      </c>
      <c r="D6" s="44">
        <v>1.65</v>
      </c>
      <c r="E6" s="39">
        <f>1/D6</f>
        <v>0.60606060606060608</v>
      </c>
      <c r="F6" s="7">
        <f>E6-0.2</f>
        <v>0.40606060606060607</v>
      </c>
      <c r="G6" s="49">
        <f>1/F6</f>
        <v>2.4626865671641789</v>
      </c>
      <c r="H6" s="43">
        <v>1</v>
      </c>
      <c r="I6" s="44" t="s">
        <v>11</v>
      </c>
      <c r="J6" s="31">
        <f t="shared" ref="J6:J12" si="0">IF(H6=0,0,IF(I6="WON",(G6-1)*0.95,-1))</f>
        <v>-1</v>
      </c>
      <c r="K6" s="35">
        <f t="shared" ref="K6:K12" si="1">J6*J$3</f>
        <v>-55.55</v>
      </c>
    </row>
    <row r="7" spans="2:11" x14ac:dyDescent="0.3">
      <c r="B7" s="3">
        <v>3</v>
      </c>
      <c r="C7" s="43" t="s">
        <v>34</v>
      </c>
      <c r="D7" s="44">
        <v>1.2</v>
      </c>
      <c r="E7" s="39">
        <f t="shared" ref="E7:E12" si="2">1/D7</f>
        <v>0.83333333333333337</v>
      </c>
      <c r="F7" s="7">
        <f t="shared" ref="F7:F12" si="3">E7-0.2</f>
        <v>0.6333333333333333</v>
      </c>
      <c r="G7" s="49">
        <f t="shared" ref="G7:G12" si="4">1/F7</f>
        <v>1.5789473684210527</v>
      </c>
      <c r="H7" s="43">
        <v>0</v>
      </c>
      <c r="I7" s="44" t="s">
        <v>7</v>
      </c>
      <c r="J7" s="31">
        <f t="shared" si="0"/>
        <v>0</v>
      </c>
      <c r="K7" s="35">
        <f t="shared" si="1"/>
        <v>0</v>
      </c>
    </row>
    <row r="8" spans="2:11" x14ac:dyDescent="0.3">
      <c r="B8" s="3">
        <v>4</v>
      </c>
      <c r="C8" s="43" t="s">
        <v>35</v>
      </c>
      <c r="D8" s="44">
        <v>1.43</v>
      </c>
      <c r="E8" s="39">
        <f t="shared" si="2"/>
        <v>0.69930069930069938</v>
      </c>
      <c r="F8" s="7">
        <f t="shared" si="3"/>
        <v>0.49930069930069937</v>
      </c>
      <c r="G8" s="49">
        <f t="shared" si="4"/>
        <v>2.0028011204481788</v>
      </c>
      <c r="H8" s="43">
        <v>1</v>
      </c>
      <c r="I8" s="44" t="s">
        <v>7</v>
      </c>
      <c r="J8" s="31">
        <f t="shared" si="0"/>
        <v>0.95266106442576981</v>
      </c>
      <c r="K8" s="35">
        <f t="shared" si="1"/>
        <v>52.92032212885151</v>
      </c>
    </row>
    <row r="9" spans="2:11" x14ac:dyDescent="0.3">
      <c r="B9" s="3">
        <v>5</v>
      </c>
      <c r="C9" s="43" t="s">
        <v>36</v>
      </c>
      <c r="D9" s="44">
        <v>1.01</v>
      </c>
      <c r="E9" s="39">
        <f t="shared" si="2"/>
        <v>0.99009900990099009</v>
      </c>
      <c r="F9" s="7">
        <f t="shared" si="3"/>
        <v>0.79009900990099013</v>
      </c>
      <c r="G9" s="49">
        <f t="shared" si="4"/>
        <v>1.2656641604010024</v>
      </c>
      <c r="H9" s="43">
        <v>1</v>
      </c>
      <c r="I9" s="44" t="s">
        <v>11</v>
      </c>
      <c r="J9" s="31">
        <f t="shared" si="0"/>
        <v>-1</v>
      </c>
      <c r="K9" s="35">
        <f t="shared" si="1"/>
        <v>-55.55</v>
      </c>
    </row>
    <row r="10" spans="2:11" x14ac:dyDescent="0.3">
      <c r="B10" s="3">
        <v>6</v>
      </c>
      <c r="C10" s="43"/>
      <c r="D10" s="44"/>
      <c r="E10" s="39" t="e">
        <f t="shared" si="2"/>
        <v>#DIV/0!</v>
      </c>
      <c r="F10" s="7" t="e">
        <f t="shared" si="3"/>
        <v>#DIV/0!</v>
      </c>
      <c r="G10" s="49" t="e">
        <f t="shared" si="4"/>
        <v>#DIV/0!</v>
      </c>
      <c r="H10" s="43"/>
      <c r="I10" s="44"/>
      <c r="J10" s="31">
        <f t="shared" si="0"/>
        <v>0</v>
      </c>
      <c r="K10" s="35">
        <f t="shared" si="1"/>
        <v>0</v>
      </c>
    </row>
    <row r="11" spans="2:11" x14ac:dyDescent="0.3">
      <c r="B11" s="3">
        <v>7</v>
      </c>
      <c r="C11" s="43"/>
      <c r="D11" s="44"/>
      <c r="E11" s="39" t="e">
        <f t="shared" si="2"/>
        <v>#DIV/0!</v>
      </c>
      <c r="F11" s="7" t="e">
        <f t="shared" si="3"/>
        <v>#DIV/0!</v>
      </c>
      <c r="G11" s="49" t="e">
        <f t="shared" si="4"/>
        <v>#DIV/0!</v>
      </c>
      <c r="H11" s="43"/>
      <c r="I11" s="44"/>
      <c r="J11" s="31">
        <f t="shared" si="0"/>
        <v>0</v>
      </c>
      <c r="K11" s="35">
        <f t="shared" si="1"/>
        <v>0</v>
      </c>
    </row>
    <row r="12" spans="2:11" ht="15" thickBot="1" x14ac:dyDescent="0.35">
      <c r="B12" s="4">
        <v>8</v>
      </c>
      <c r="C12" s="45"/>
      <c r="D12" s="46"/>
      <c r="E12" s="40" t="e">
        <f t="shared" si="2"/>
        <v>#DIV/0!</v>
      </c>
      <c r="F12" s="12" t="e">
        <f t="shared" si="3"/>
        <v>#DIV/0!</v>
      </c>
      <c r="G12" s="14" t="e">
        <f t="shared" si="4"/>
        <v>#DIV/0!</v>
      </c>
      <c r="H12" s="45"/>
      <c r="I12" s="46"/>
      <c r="J12" s="18">
        <f t="shared" si="0"/>
        <v>0</v>
      </c>
      <c r="K12" s="37">
        <f t="shared" si="1"/>
        <v>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12"/>
  <sheetViews>
    <sheetView zoomScale="165" workbookViewId="0">
      <selection activeCell="H17" sqref="H17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15</v>
      </c>
      <c r="D4" s="19" t="s">
        <v>2</v>
      </c>
      <c r="E4" s="15" t="s">
        <v>3</v>
      </c>
      <c r="F4" s="20" t="s">
        <v>4</v>
      </c>
      <c r="G4" s="21" t="s">
        <v>5</v>
      </c>
      <c r="H4" s="21" t="s">
        <v>1</v>
      </c>
      <c r="I4" s="22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41" t="s">
        <v>37</v>
      </c>
      <c r="D5" s="42">
        <v>2</v>
      </c>
      <c r="E5" s="38">
        <f>1/D5</f>
        <v>0.5</v>
      </c>
      <c r="F5" s="25">
        <f>E5-0.2</f>
        <v>0.3</v>
      </c>
      <c r="G5" s="26">
        <f>1/F5</f>
        <v>3.3333333333333335</v>
      </c>
      <c r="H5" s="41">
        <v>1</v>
      </c>
      <c r="I5" s="42" t="s">
        <v>7</v>
      </c>
      <c r="J5" s="17">
        <f>IF(H5=0,0,IF(I5="WON",(G5-1)*0.95,-1))</f>
        <v>2.2166666666666668</v>
      </c>
      <c r="K5" s="33">
        <f>J5*J$3</f>
        <v>123.13583333333334</v>
      </c>
    </row>
    <row r="6" spans="2:11" x14ac:dyDescent="0.3">
      <c r="B6" s="3">
        <v>2</v>
      </c>
      <c r="C6" s="43" t="s">
        <v>38</v>
      </c>
      <c r="D6" s="44">
        <v>1.2</v>
      </c>
      <c r="E6" s="39">
        <f>1/D6</f>
        <v>0.83333333333333337</v>
      </c>
      <c r="F6" s="7">
        <f>E6-0.2</f>
        <v>0.6333333333333333</v>
      </c>
      <c r="G6" s="49">
        <f>1/F6</f>
        <v>1.5789473684210527</v>
      </c>
      <c r="H6" s="43">
        <v>1</v>
      </c>
      <c r="I6" s="44" t="s">
        <v>11</v>
      </c>
      <c r="J6" s="31">
        <f t="shared" ref="J6:J12" si="0">IF(H6=0,0,IF(I6="WON",(G6-1)*0.95,-1))</f>
        <v>-1</v>
      </c>
      <c r="K6" s="35">
        <f t="shared" ref="K6:K12" si="1">J6*J$3</f>
        <v>-55.55</v>
      </c>
    </row>
    <row r="7" spans="2:11" x14ac:dyDescent="0.3">
      <c r="B7" s="3">
        <v>3</v>
      </c>
      <c r="C7" s="43" t="s">
        <v>39</v>
      </c>
      <c r="D7" s="44">
        <v>1.6</v>
      </c>
      <c r="E7" s="39">
        <f t="shared" ref="E7:E12" si="2">1/D7</f>
        <v>0.625</v>
      </c>
      <c r="F7" s="7">
        <f t="shared" ref="F7:F12" si="3">E7-0.2</f>
        <v>0.42499999999999999</v>
      </c>
      <c r="G7" s="49">
        <f t="shared" ref="G7:G12" si="4">1/F7</f>
        <v>2.3529411764705883</v>
      </c>
      <c r="H7" s="43">
        <v>1</v>
      </c>
      <c r="I7" s="44" t="s">
        <v>7</v>
      </c>
      <c r="J7" s="31">
        <f t="shared" si="0"/>
        <v>1.2852941176470589</v>
      </c>
      <c r="K7" s="35">
        <f t="shared" si="1"/>
        <v>71.398088235294125</v>
      </c>
    </row>
    <row r="8" spans="2:11" x14ac:dyDescent="0.3">
      <c r="B8" s="3">
        <v>4</v>
      </c>
      <c r="C8" s="43"/>
      <c r="D8" s="44"/>
      <c r="E8" s="39" t="e">
        <f t="shared" si="2"/>
        <v>#DIV/0!</v>
      </c>
      <c r="F8" s="7" t="e">
        <f t="shared" si="3"/>
        <v>#DIV/0!</v>
      </c>
      <c r="G8" s="49" t="e">
        <f t="shared" si="4"/>
        <v>#DIV/0!</v>
      </c>
      <c r="H8" s="43"/>
      <c r="I8" s="44"/>
      <c r="J8" s="31">
        <f t="shared" si="0"/>
        <v>0</v>
      </c>
      <c r="K8" s="35">
        <f t="shared" si="1"/>
        <v>0</v>
      </c>
    </row>
    <row r="9" spans="2:11" x14ac:dyDescent="0.3">
      <c r="B9" s="3">
        <v>5</v>
      </c>
      <c r="C9" s="43"/>
      <c r="D9" s="44"/>
      <c r="E9" s="39" t="e">
        <f t="shared" si="2"/>
        <v>#DIV/0!</v>
      </c>
      <c r="F9" s="7" t="e">
        <f t="shared" si="3"/>
        <v>#DIV/0!</v>
      </c>
      <c r="G9" s="49" t="e">
        <f t="shared" si="4"/>
        <v>#DIV/0!</v>
      </c>
      <c r="H9" s="43"/>
      <c r="I9" s="44"/>
      <c r="J9" s="31">
        <f t="shared" si="0"/>
        <v>0</v>
      </c>
      <c r="K9" s="35">
        <f t="shared" si="1"/>
        <v>0</v>
      </c>
    </row>
    <row r="10" spans="2:11" x14ac:dyDescent="0.3">
      <c r="B10" s="3">
        <v>6</v>
      </c>
      <c r="C10" s="43"/>
      <c r="D10" s="44"/>
      <c r="E10" s="39" t="e">
        <f t="shared" si="2"/>
        <v>#DIV/0!</v>
      </c>
      <c r="F10" s="7" t="e">
        <f t="shared" si="3"/>
        <v>#DIV/0!</v>
      </c>
      <c r="G10" s="49" t="e">
        <f t="shared" si="4"/>
        <v>#DIV/0!</v>
      </c>
      <c r="H10" s="43"/>
      <c r="I10" s="44"/>
      <c r="J10" s="31">
        <f t="shared" si="0"/>
        <v>0</v>
      </c>
      <c r="K10" s="35">
        <f t="shared" si="1"/>
        <v>0</v>
      </c>
    </row>
    <row r="11" spans="2:11" x14ac:dyDescent="0.3">
      <c r="B11" s="3">
        <v>7</v>
      </c>
      <c r="C11" s="43"/>
      <c r="D11" s="44"/>
      <c r="E11" s="39" t="e">
        <f t="shared" si="2"/>
        <v>#DIV/0!</v>
      </c>
      <c r="F11" s="7" t="e">
        <f t="shared" si="3"/>
        <v>#DIV/0!</v>
      </c>
      <c r="G11" s="49" t="e">
        <f t="shared" si="4"/>
        <v>#DIV/0!</v>
      </c>
      <c r="H11" s="43"/>
      <c r="I11" s="44"/>
      <c r="J11" s="31">
        <f t="shared" si="0"/>
        <v>0</v>
      </c>
      <c r="K11" s="35">
        <f t="shared" si="1"/>
        <v>0</v>
      </c>
    </row>
    <row r="12" spans="2:11" ht="15" thickBot="1" x14ac:dyDescent="0.35">
      <c r="B12" s="4">
        <v>8</v>
      </c>
      <c r="C12" s="45"/>
      <c r="D12" s="46"/>
      <c r="E12" s="40" t="e">
        <f t="shared" si="2"/>
        <v>#DIV/0!</v>
      </c>
      <c r="F12" s="12" t="e">
        <f t="shared" si="3"/>
        <v>#DIV/0!</v>
      </c>
      <c r="G12" s="14" t="e">
        <f t="shared" si="4"/>
        <v>#DIV/0!</v>
      </c>
      <c r="H12" s="45"/>
      <c r="I12" s="46"/>
      <c r="J12" s="18">
        <f t="shared" si="0"/>
        <v>0</v>
      </c>
      <c r="K12" s="37">
        <f t="shared" si="1"/>
        <v>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12"/>
  <sheetViews>
    <sheetView zoomScale="165" workbookViewId="0">
      <selection activeCell="I6" sqref="I6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15</v>
      </c>
      <c r="D4" s="19" t="s">
        <v>2</v>
      </c>
      <c r="E4" s="15" t="s">
        <v>3</v>
      </c>
      <c r="F4" s="20" t="s">
        <v>4</v>
      </c>
      <c r="G4" s="21" t="s">
        <v>5</v>
      </c>
      <c r="H4" s="21" t="s">
        <v>1</v>
      </c>
      <c r="I4" s="22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41" t="s">
        <v>16</v>
      </c>
      <c r="D5" s="42">
        <v>2</v>
      </c>
      <c r="E5" s="38">
        <f>1/D5</f>
        <v>0.5</v>
      </c>
      <c r="F5" s="25">
        <f>E5-0.2</f>
        <v>0.3</v>
      </c>
      <c r="G5" s="26">
        <f>1/F5</f>
        <v>3.3333333333333335</v>
      </c>
      <c r="H5" s="48">
        <v>0</v>
      </c>
      <c r="I5" s="48"/>
      <c r="J5" s="17">
        <f>IF(H5=0,0,IF(I5="WON",(G5-1)*0.95,-1))</f>
        <v>0</v>
      </c>
      <c r="K5" s="33">
        <f>J5*J$3</f>
        <v>0</v>
      </c>
    </row>
    <row r="6" spans="2:11" x14ac:dyDescent="0.3">
      <c r="B6" s="3">
        <v>2</v>
      </c>
      <c r="C6" s="43"/>
      <c r="D6" s="44"/>
      <c r="E6" s="39" t="e">
        <f>1/D6</f>
        <v>#DIV/0!</v>
      </c>
      <c r="F6" s="7" t="e">
        <f>E6-0.2</f>
        <v>#DIV/0!</v>
      </c>
      <c r="G6" s="49" t="e">
        <f>1/F6</f>
        <v>#DIV/0!</v>
      </c>
      <c r="H6" s="47"/>
      <c r="I6" s="47"/>
      <c r="J6" s="31">
        <f t="shared" ref="J6:J12" si="0">IF(H6=0,0,IF(I6="WON",(G6-1)*0.95,-1))</f>
        <v>0</v>
      </c>
      <c r="K6" s="35">
        <f t="shared" ref="K6:K12" si="1">J6*J$3</f>
        <v>0</v>
      </c>
    </row>
    <row r="7" spans="2:11" x14ac:dyDescent="0.3">
      <c r="B7" s="3">
        <v>3</v>
      </c>
      <c r="C7" s="43"/>
      <c r="D7" s="44"/>
      <c r="E7" s="39" t="e">
        <f t="shared" ref="E7:E12" si="2">1/D7</f>
        <v>#DIV/0!</v>
      </c>
      <c r="F7" s="7" t="e">
        <f t="shared" ref="F7:F12" si="3">E7-0.2</f>
        <v>#DIV/0!</v>
      </c>
      <c r="G7" s="49" t="e">
        <f t="shared" ref="G7:G12" si="4">1/F7</f>
        <v>#DIV/0!</v>
      </c>
      <c r="H7" s="47"/>
      <c r="I7" s="47"/>
      <c r="J7" s="31">
        <f t="shared" si="0"/>
        <v>0</v>
      </c>
      <c r="K7" s="35">
        <f t="shared" si="1"/>
        <v>0</v>
      </c>
    </row>
    <row r="8" spans="2:11" x14ac:dyDescent="0.3">
      <c r="B8" s="3">
        <v>4</v>
      </c>
      <c r="C8" s="43"/>
      <c r="D8" s="44"/>
      <c r="E8" s="39" t="e">
        <f t="shared" si="2"/>
        <v>#DIV/0!</v>
      </c>
      <c r="F8" s="7" t="e">
        <f t="shared" si="3"/>
        <v>#DIV/0!</v>
      </c>
      <c r="G8" s="49" t="e">
        <f t="shared" si="4"/>
        <v>#DIV/0!</v>
      </c>
      <c r="H8" s="47"/>
      <c r="I8" s="47"/>
      <c r="J8" s="31">
        <f t="shared" si="0"/>
        <v>0</v>
      </c>
      <c r="K8" s="35">
        <f t="shared" si="1"/>
        <v>0</v>
      </c>
    </row>
    <row r="9" spans="2:11" x14ac:dyDescent="0.3">
      <c r="B9" s="3">
        <v>5</v>
      </c>
      <c r="C9" s="43"/>
      <c r="D9" s="44"/>
      <c r="E9" s="39" t="e">
        <f t="shared" si="2"/>
        <v>#DIV/0!</v>
      </c>
      <c r="F9" s="7" t="e">
        <f t="shared" si="3"/>
        <v>#DIV/0!</v>
      </c>
      <c r="G9" s="49" t="e">
        <f t="shared" si="4"/>
        <v>#DIV/0!</v>
      </c>
      <c r="H9" s="47"/>
      <c r="I9" s="47"/>
      <c r="J9" s="31">
        <f t="shared" si="0"/>
        <v>0</v>
      </c>
      <c r="K9" s="35">
        <f t="shared" si="1"/>
        <v>0</v>
      </c>
    </row>
    <row r="10" spans="2:11" x14ac:dyDescent="0.3">
      <c r="B10" s="3">
        <v>6</v>
      </c>
      <c r="C10" s="43"/>
      <c r="D10" s="44"/>
      <c r="E10" s="39" t="e">
        <f t="shared" si="2"/>
        <v>#DIV/0!</v>
      </c>
      <c r="F10" s="7" t="e">
        <f t="shared" si="3"/>
        <v>#DIV/0!</v>
      </c>
      <c r="G10" s="49" t="e">
        <f t="shared" si="4"/>
        <v>#DIV/0!</v>
      </c>
      <c r="H10" s="47"/>
      <c r="I10" s="47"/>
      <c r="J10" s="31">
        <f t="shared" si="0"/>
        <v>0</v>
      </c>
      <c r="K10" s="35">
        <f t="shared" si="1"/>
        <v>0</v>
      </c>
    </row>
    <row r="11" spans="2:11" x14ac:dyDescent="0.3">
      <c r="B11" s="3">
        <v>7</v>
      </c>
      <c r="C11" s="43"/>
      <c r="D11" s="44"/>
      <c r="E11" s="39" t="e">
        <f t="shared" si="2"/>
        <v>#DIV/0!</v>
      </c>
      <c r="F11" s="7" t="e">
        <f t="shared" si="3"/>
        <v>#DIV/0!</v>
      </c>
      <c r="G11" s="49" t="e">
        <f t="shared" si="4"/>
        <v>#DIV/0!</v>
      </c>
      <c r="H11" s="47"/>
      <c r="I11" s="47"/>
      <c r="J11" s="31">
        <f t="shared" si="0"/>
        <v>0</v>
      </c>
      <c r="K11" s="35">
        <f t="shared" si="1"/>
        <v>0</v>
      </c>
    </row>
    <row r="12" spans="2:11" ht="15" thickBot="1" x14ac:dyDescent="0.35">
      <c r="B12" s="4">
        <v>8</v>
      </c>
      <c r="C12" s="45"/>
      <c r="D12" s="46"/>
      <c r="E12" s="40" t="e">
        <f t="shared" si="2"/>
        <v>#DIV/0!</v>
      </c>
      <c r="F12" s="12" t="e">
        <f t="shared" si="3"/>
        <v>#DIV/0!</v>
      </c>
      <c r="G12" s="14" t="e">
        <f t="shared" si="4"/>
        <v>#DIV/0!</v>
      </c>
      <c r="H12" s="50"/>
      <c r="I12" s="50"/>
      <c r="J12" s="18">
        <f t="shared" si="0"/>
        <v>0</v>
      </c>
      <c r="K12" s="37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AFL</vt:lpstr>
      <vt:lpstr>Tennis</vt:lpstr>
      <vt:lpstr>Cricket</vt:lpstr>
      <vt:lpstr>Basketball</vt:lpstr>
      <vt:lpstr>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2026-04-03T06:00:47Z</dcterms:modified>
</cp:coreProperties>
</file>