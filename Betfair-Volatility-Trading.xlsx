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426F07CE-5B8D-5045-ABCA-50498993CD5F}" xr6:coauthVersionLast="47" xr6:coauthVersionMax="47" xr10:uidLastSave="{00000000-0000-0000-0000-000000000000}"/>
  <bookViews>
    <workbookView xWindow="-36480" yWindow="500" windowWidth="34400" windowHeight="1900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1" i="1" l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G32" i="1"/>
  <c r="G34" i="1"/>
  <c r="G35" i="1"/>
  <c r="G36" i="1"/>
  <c r="G37" i="1"/>
  <c r="G38" i="1"/>
  <c r="G39" i="1"/>
  <c r="G31" i="1"/>
  <c r="E39" i="1"/>
  <c r="F39" i="1" s="1"/>
  <c r="E38" i="1"/>
  <c r="F38" i="1" s="1"/>
  <c r="E37" i="1"/>
  <c r="F37" i="1"/>
  <c r="E36" i="1"/>
  <c r="F36" i="1" s="1"/>
  <c r="E35" i="1"/>
  <c r="F35" i="1"/>
  <c r="E34" i="1"/>
  <c r="F34" i="1"/>
  <c r="E33" i="1"/>
  <c r="F33" i="1" s="1"/>
  <c r="E32" i="1"/>
  <c r="F32" i="1" s="1"/>
  <c r="E31" i="1"/>
  <c r="F31" i="1" s="1"/>
  <c r="J27" i="1"/>
  <c r="G27" i="1"/>
  <c r="J25" i="1" l="1"/>
  <c r="K25" i="1" s="1"/>
  <c r="J22" i="1"/>
  <c r="K22" i="1" s="1"/>
  <c r="J23" i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G28" i="1"/>
  <c r="G22" i="1"/>
  <c r="E30" i="1"/>
  <c r="F30" i="1"/>
  <c r="E29" i="1"/>
  <c r="F29" i="1"/>
  <c r="E28" i="1"/>
  <c r="F28" i="1" s="1"/>
  <c r="E27" i="1"/>
  <c r="F27" i="1" s="1"/>
  <c r="E26" i="1"/>
  <c r="F26" i="1" s="1"/>
  <c r="E25" i="1"/>
  <c r="F25" i="1" s="1"/>
  <c r="G25" i="1" s="1"/>
  <c r="E24" i="1"/>
  <c r="F24" i="1"/>
  <c r="G24" i="1" s="1"/>
  <c r="E23" i="1"/>
  <c r="F23" i="1" s="1"/>
  <c r="E22" i="1"/>
  <c r="F22" i="1" s="1"/>
  <c r="G12" i="2"/>
  <c r="E12" i="2"/>
  <c r="F12" i="2" s="1"/>
  <c r="J12" i="2"/>
  <c r="K12" i="2" s="1"/>
  <c r="E11" i="2"/>
  <c r="F11" i="2"/>
  <c r="J11" i="2" s="1"/>
  <c r="K11" i="2" s="1"/>
  <c r="E9" i="2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14" i="1"/>
  <c r="K14" i="1" s="1"/>
  <c r="J6" i="13"/>
  <c r="L6" i="13" s="1"/>
  <c r="J12" i="1"/>
  <c r="J13" i="1"/>
  <c r="K13" i="1" s="1"/>
  <c r="J6" i="2"/>
  <c r="K6" i="2" s="1"/>
  <c r="E6" i="2"/>
  <c r="F6" i="2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<sst xmlns="http://schemas.openxmlformats.org/spreadsheetml/2006/main" count="158" uniqueCount="52">
  <si>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</si>
  <si>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</si>
  <si>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</si>
  <si>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</si>
  <si>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</si>
  <si>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</si>
  <si>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</si>
  <si>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</si>
  <si>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</si>
  <si>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</si>
  <si>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</si>
  <si>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</si>
  <si>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</si>
  <si>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</si>
  <si>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</si>
  <si>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</si>
  <si>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</si>
  <si>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</si>
  <si>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</si>
  <si>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</si>
  <si>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</si>
  <si>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</si>
  <si>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</si>
  <si>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</si>
  <si>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</si>
  <si>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</si>
  <si>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</si>
  <si>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</si>
  <si>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</si>
  <si>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</si>
  <si>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</si>
  <si>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</si>
  <si>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</si>
  <si>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</si>
  <si>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</si>
  <si>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</si>
  <si>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</si>
  <si>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</si>
  <si>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</si>
  <si>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</si>
  <si>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</si>
  <si>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</si>
  <si>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</si>
  <si>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</si>
  <si>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</si>
  <si>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</si>
  <si>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</si>
  <si>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Nava</t>
  </si>
  <si>
    <t>Expiry</t>
  </si>
  <si>
    <t>Magpies</t>
  </si>
  <si>
    <t>Kangaroos</t>
  </si>
  <si>
    <t>GWS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</si>
</sst>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6" xfId="0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39"/>
  <sheetViews>
    <sheetView tabSelected="1" zoomScale="136" workbookViewId="0">
      <pane ySplit="4" topLeftCell="A14" activePane="bottomLeft" state="frozen"/>
      <selection pane="bottomLeft" activeCell="N25" sqref="N25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34</v>
      </c>
      <c r="D13" s="58">
        <v>1.2</v>
      </c>
      <c r="E13" s="41">
        <f t="shared" ref="E13:E39" si="5">1/D13</f>
        <v>0.83333333333333337</v>
      </c>
      <c r="F13" s="21">
        <f t="shared" ref="F13:F39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11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3" t="s">
        <v>49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4" t="s">
        <v>36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66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4" t="s">
        <v>19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66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4" t="s">
        <v>20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66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4" t="s">
        <v>22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67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4" t="s">
        <v>34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67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4" t="s">
        <v>50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66" t="s">
        <v>7</v>
      </c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4" t="s">
        <v>18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66" t="s">
        <v>11</v>
      </c>
      <c r="J29" s="26">
        <f t="shared" si="10"/>
        <v>-1</v>
      </c>
      <c r="K29" s="27">
        <f t="shared" si="11"/>
        <v>-55.55</v>
      </c>
    </row>
    <row r="30" spans="2:11" ht="16" thickBot="1" x14ac:dyDescent="0.25">
      <c r="B30" s="47">
        <v>26</v>
      </c>
      <c r="C30" s="65" t="s">
        <v>16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68">
        <v>0</v>
      </c>
      <c r="I30" s="69" t="s">
        <v>7</v>
      </c>
      <c r="J30" s="26">
        <f t="shared" si="10"/>
        <v>0</v>
      </c>
      <c r="K30" s="27">
        <f t="shared" si="11"/>
        <v>0</v>
      </c>
    </row>
    <row r="31" spans="2:11" x14ac:dyDescent="0.2">
      <c r="B31" s="70">
        <v>27</v>
      </c>
      <c r="C31" s="1" t="s">
        <v>19</v>
      </c>
      <c r="D31" s="5">
        <v>1.35</v>
      </c>
      <c r="E31" s="42">
        <f t="shared" si="5"/>
        <v>0.7407407407407407</v>
      </c>
      <c r="F31" s="56">
        <f t="shared" si="6"/>
        <v>0.54074074074074074</v>
      </c>
      <c r="G31" s="73">
        <f>1/F31</f>
        <v>1.8493150684931507</v>
      </c>
      <c r="H31" s="76">
        <v>1</v>
      </c>
      <c r="I31" s="76" t="s">
        <v>7</v>
      </c>
      <c r="J31" s="24">
        <f>IF(H31=0,0,IF(I31="WON",(G31-1)*0.94,-1))</f>
        <v>0.79835616438356161</v>
      </c>
      <c r="K31" s="25">
        <f t="shared" ref="K31:K39" si="13">J31*J$3</f>
        <v>44.348684931506845</v>
      </c>
    </row>
    <row r="32" spans="2:11" x14ac:dyDescent="0.2">
      <c r="B32" s="71">
        <v>28</v>
      </c>
      <c r="C32" s="1" t="s">
        <v>35</v>
      </c>
      <c r="D32" s="5">
        <v>1.1499999999999999</v>
      </c>
      <c r="E32" s="42">
        <f t="shared" si="5"/>
        <v>0.86956521739130443</v>
      </c>
      <c r="F32" s="56">
        <f t="shared" si="6"/>
        <v>0.66956521739130448</v>
      </c>
      <c r="G32" s="74">
        <f t="shared" ref="G32:G39" si="14">1/F32</f>
        <v>1.4935064935064932</v>
      </c>
      <c r="H32" s="77"/>
      <c r="I32" s="77"/>
      <c r="J32" s="26">
        <f t="shared" ref="J31:J39" si="15">IF(H32=0,0,IF(I32="WON",(G32-1)*0.95,-1))</f>
        <v>0</v>
      </c>
      <c r="K32" s="27">
        <f t="shared" si="13"/>
        <v>0</v>
      </c>
    </row>
    <row r="33" spans="2:11" x14ac:dyDescent="0.2">
      <c r="B33" s="71">
        <v>29</v>
      </c>
      <c r="C33" s="1" t="s">
        <v>22</v>
      </c>
      <c r="D33" s="5">
        <v>1.67</v>
      </c>
      <c r="E33" s="42">
        <f t="shared" si="5"/>
        <v>0.5988023952095809</v>
      </c>
      <c r="F33" s="56">
        <f t="shared" si="6"/>
        <v>0.39880239520958088</v>
      </c>
      <c r="G33" s="74">
        <v>2.52</v>
      </c>
      <c r="H33" s="77"/>
      <c r="I33" s="77"/>
      <c r="J33" s="26">
        <f t="shared" si="15"/>
        <v>0</v>
      </c>
      <c r="K33" s="27">
        <f t="shared" si="13"/>
        <v>0</v>
      </c>
    </row>
    <row r="34" spans="2:11" x14ac:dyDescent="0.2">
      <c r="B34" s="71">
        <v>30</v>
      </c>
      <c r="C34" s="1" t="s">
        <v>49</v>
      </c>
      <c r="D34" s="5">
        <v>1.42</v>
      </c>
      <c r="E34" s="42">
        <f t="shared" si="5"/>
        <v>0.70422535211267612</v>
      </c>
      <c r="F34" s="56">
        <f t="shared" si="6"/>
        <v>0.50422535211267605</v>
      </c>
      <c r="G34" s="74">
        <f t="shared" si="14"/>
        <v>1.9832402234636872</v>
      </c>
      <c r="H34" s="77"/>
      <c r="I34" s="77"/>
      <c r="J34" s="26">
        <f t="shared" si="15"/>
        <v>0</v>
      </c>
      <c r="K34" s="27">
        <f t="shared" si="13"/>
        <v>0</v>
      </c>
    </row>
    <row r="35" spans="2:11" x14ac:dyDescent="0.2">
      <c r="B35" s="71">
        <v>31</v>
      </c>
      <c r="C35" s="1" t="s">
        <v>36</v>
      </c>
      <c r="D35" s="5">
        <v>1.27</v>
      </c>
      <c r="E35" s="42">
        <f t="shared" si="5"/>
        <v>0.78740157480314954</v>
      </c>
      <c r="F35" s="56">
        <f t="shared" si="6"/>
        <v>0.58740157480314958</v>
      </c>
      <c r="G35" s="74">
        <f t="shared" si="14"/>
        <v>1.7024128686327078</v>
      </c>
      <c r="H35" s="77"/>
      <c r="I35" s="77"/>
      <c r="J35" s="26">
        <f t="shared" si="15"/>
        <v>0</v>
      </c>
      <c r="K35" s="27">
        <f t="shared" si="13"/>
        <v>0</v>
      </c>
    </row>
    <row r="36" spans="2:11" x14ac:dyDescent="0.2">
      <c r="B36" s="71">
        <v>32</v>
      </c>
      <c r="C36" s="1" t="s">
        <v>16</v>
      </c>
      <c r="D36" s="5">
        <v>1.1499999999999999</v>
      </c>
      <c r="E36" s="42">
        <f t="shared" si="5"/>
        <v>0.86956521739130443</v>
      </c>
      <c r="F36" s="56">
        <f t="shared" si="6"/>
        <v>0.66956521739130448</v>
      </c>
      <c r="G36" s="74">
        <f t="shared" si="14"/>
        <v>1.4935064935064932</v>
      </c>
      <c r="H36" s="77"/>
      <c r="I36" s="77"/>
      <c r="J36" s="26">
        <f t="shared" si="15"/>
        <v>0</v>
      </c>
      <c r="K36" s="27">
        <f t="shared" si="13"/>
        <v>0</v>
      </c>
    </row>
    <row r="37" spans="2:11" x14ac:dyDescent="0.2">
      <c r="B37" s="71">
        <v>33</v>
      </c>
      <c r="C37" s="1" t="s">
        <v>38</v>
      </c>
      <c r="D37" s="5">
        <v>1.1299999999999999</v>
      </c>
      <c r="E37" s="42">
        <f t="shared" si="5"/>
        <v>0.88495575221238942</v>
      </c>
      <c r="F37" s="56">
        <f t="shared" si="6"/>
        <v>0.68495575221238947</v>
      </c>
      <c r="G37" s="74">
        <f t="shared" si="14"/>
        <v>1.4599483204134365</v>
      </c>
      <c r="H37" s="77"/>
      <c r="I37" s="77"/>
      <c r="J37" s="26">
        <f t="shared" si="15"/>
        <v>0</v>
      </c>
      <c r="K37" s="27">
        <f t="shared" si="13"/>
        <v>0</v>
      </c>
    </row>
    <row r="38" spans="2:11" x14ac:dyDescent="0.2">
      <c r="B38" s="71">
        <v>34</v>
      </c>
      <c r="C38" s="1" t="s">
        <v>18</v>
      </c>
      <c r="D38" s="5">
        <v>1.37</v>
      </c>
      <c r="E38" s="42">
        <f t="shared" si="5"/>
        <v>0.72992700729927007</v>
      </c>
      <c r="F38" s="56">
        <f t="shared" si="6"/>
        <v>0.52992700729927011</v>
      </c>
      <c r="G38" s="74">
        <f t="shared" si="14"/>
        <v>1.887052341597796</v>
      </c>
      <c r="H38" s="77"/>
      <c r="I38" s="77"/>
      <c r="J38" s="26">
        <f t="shared" si="15"/>
        <v>0</v>
      </c>
      <c r="K38" s="27">
        <f t="shared" si="13"/>
        <v>0</v>
      </c>
    </row>
    <row r="39" spans="2:11" ht="16" thickBot="1" x14ac:dyDescent="0.25">
      <c r="B39" s="72">
        <v>35</v>
      </c>
      <c r="C39" s="1" t="s">
        <v>51</v>
      </c>
      <c r="D39" s="5">
        <v>1.52</v>
      </c>
      <c r="E39" s="42">
        <f t="shared" si="5"/>
        <v>0.65789473684210531</v>
      </c>
      <c r="F39" s="56">
        <f t="shared" si="6"/>
        <v>0.4578947368421053</v>
      </c>
      <c r="G39" s="75">
        <f t="shared" si="14"/>
        <v>2.1839080459770113</v>
      </c>
      <c r="H39" s="78"/>
      <c r="I39" s="78"/>
      <c r="J39" s="28">
        <f t="shared" si="15"/>
        <v>0</v>
      </c>
      <c r="K39" s="29">
        <f t="shared" si="13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2"/>
  <sheetViews>
    <sheetView zoomScale="165" workbookViewId="0">
      <selection activeCell="K12" sqref="K5:K12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ht="16" thickBot="1" x14ac:dyDescent="0.25">
      <c r="B10" s="2">
        <v>6</v>
      </c>
      <c r="C10" s="54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6" thickBot="1" x14ac:dyDescent="0.25">
      <c r="B11" s="2">
        <v>7</v>
      </c>
      <c r="C11" s="54" t="s">
        <v>47</v>
      </c>
      <c r="D11" s="31">
        <v>1.75</v>
      </c>
      <c r="E11" s="20">
        <f t="shared" ref="E11" si="7">1/D11</f>
        <v>0.5714285714285714</v>
      </c>
      <c r="F11" s="21">
        <f t="shared" ref="F11" si="8">E11-0.2</f>
        <v>0.37142857142857139</v>
      </c>
      <c r="G11" s="22">
        <v>2.7</v>
      </c>
      <c r="H11" s="30">
        <v>1</v>
      </c>
      <c r="I11" s="31" t="s">
        <v>11</v>
      </c>
      <c r="J11" s="15">
        <f t="shared" ref="J11" si="9">IF(H11=0,0,IF(I11="WON",(G11-1),-1))</f>
        <v>-1</v>
      </c>
      <c r="K11" s="25">
        <f t="shared" ref="K11" si="10">J11*J$3</f>
        <v>-55.55</v>
      </c>
    </row>
    <row r="12" spans="2:12" x14ac:dyDescent="0.2">
      <c r="B12" s="2">
        <v>8</v>
      </c>
      <c r="C12" s="54" t="s">
        <v>47</v>
      </c>
      <c r="D12" s="31">
        <v>2.75</v>
      </c>
      <c r="E12" s="20">
        <f t="shared" ref="E12" si="11">1/D12</f>
        <v>0.36363636363636365</v>
      </c>
      <c r="F12" s="21">
        <f t="shared" ref="F12" si="12">E12-0.2</f>
        <v>0.16363636363636364</v>
      </c>
      <c r="G12" s="22">
        <f>1/F12</f>
        <v>6.1111111111111107</v>
      </c>
      <c r="H12" s="30">
        <v>1</v>
      </c>
      <c r="I12" s="31" t="s">
        <v>11</v>
      </c>
      <c r="J12" s="15">
        <f t="shared" ref="J12" si="13">IF(H12=0,0,IF(I12="WON",(G12-1),-1))</f>
        <v>-1</v>
      </c>
      <c r="K12" s="25">
        <f t="shared" ref="K12" si="14">J12*J$3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I7" sqref="I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33</v>
      </c>
    </row>
    <row r="3" spans="2:14" ht="16" thickBot="1" x14ac:dyDescent="0.25">
      <c r="B3" s="1"/>
      <c r="C3" s="1"/>
      <c r="D3" s="1"/>
      <c r="E3" s="1"/>
      <c r="K3" s="32" t="s">
        <v>30</v>
      </c>
      <c r="L3" s="7"/>
      <c r="M3" s="39"/>
      <c r="N3" s="39"/>
    </row>
    <row r="4" spans="2:14" ht="16" thickBot="1" x14ac:dyDescent="0.25">
      <c r="B4" s="13" t="s">
        <v>0</v>
      </c>
      <c r="C4" s="13" t="s">
        <v>48</v>
      </c>
      <c r="D4" s="13" t="s">
        <v>25</v>
      </c>
      <c r="E4" s="33" t="s">
        <v>26</v>
      </c>
      <c r="F4" s="13" t="s">
        <v>27</v>
      </c>
      <c r="G4" s="34" t="s">
        <v>28</v>
      </c>
      <c r="H4" s="17" t="s">
        <v>31</v>
      </c>
      <c r="I4" s="13" t="s">
        <v>29</v>
      </c>
      <c r="J4" s="13" t="s">
        <v>32</v>
      </c>
      <c r="K4" s="14" t="s">
        <v>24</v>
      </c>
      <c r="L4" s="14" t="s">
        <v>12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2026-04-23T22:25:53Z</dcterms:modified>
</cp:coreProperties>
</file>