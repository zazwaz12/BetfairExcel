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wnloads\"/>
    </mc:Choice>
  </mc:AlternateContent>
  <xr:revisionPtr revIDLastSave="0" documentId="13_ncr:1_{AB13E9B7-57CD-4398-ADB3-D720564867F5}" xr6:coauthVersionLast="47" xr6:coauthVersionMax="47" xr10:uidLastSave="{00000000-0000-0000-0000-000000000000}"/>
  <bookViews>
    <workbookView xWindow="-108" yWindow="-108" windowWidth="24792" windowHeight="14856" activeTab="1" xr2:uid="{C475443F-0BD3-43A3-A939-51219F6DA813}"/>
  </bookViews>
  <sheets>
    <sheet name="AFL" sheetId="1" r:id="rId1"/>
    <sheet name="Tennis" sheetId="2" r:id="rId2"/>
    <sheet name="Options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" l="1"/>
  <c r="K17" i="2" s="1"/>
  <c r="J18" i="2"/>
  <c r="K18" i="2" s="1"/>
  <c r="E18" i="2"/>
  <c r="F18" i="2" s="1"/>
  <c r="E17" i="2"/>
  <c r="F17" i="2" s="1"/>
  <c r="G16" i="2"/>
  <c r="J16" i="2"/>
  <c r="K16" i="2"/>
  <c r="E16" i="2"/>
  <c r="F16" i="2"/>
  <c r="J11" i="2"/>
  <c r="K11" i="2" s="1"/>
  <c r="J12" i="2"/>
  <c r="K12" i="2" s="1"/>
  <c r="J13" i="2"/>
  <c r="K13" i="2"/>
  <c r="J14" i="2"/>
  <c r="K14" i="2"/>
  <c r="J15" i="2"/>
  <c r="K15" i="2" s="1"/>
  <c r="E15" i="2"/>
  <c r="F15" i="2"/>
  <c r="E14" i="2"/>
  <c r="F14" i="2"/>
  <c r="E13" i="2"/>
  <c r="F13" i="2"/>
  <c r="G13" i="2"/>
  <c r="E12" i="2"/>
  <c r="F12" i="2"/>
  <c r="G12" i="2"/>
  <c r="E11" i="2"/>
  <c r="F11" i="2"/>
  <c r="G11" i="2" s="1"/>
  <c r="J57" i="1"/>
  <c r="K57" i="1" s="1"/>
  <c r="J58" i="1"/>
  <c r="K58" i="1" s="1"/>
  <c r="J59" i="1"/>
  <c r="K59" i="1" s="1"/>
  <c r="J60" i="1"/>
  <c r="K60" i="1"/>
  <c r="J61" i="1"/>
  <c r="K61" i="1" s="1"/>
  <c r="J62" i="1"/>
  <c r="K62" i="1" s="1"/>
  <c r="J63" i="1"/>
  <c r="K63" i="1"/>
  <c r="J64" i="1"/>
  <c r="K64" i="1"/>
  <c r="J65" i="1"/>
  <c r="K65" i="1" s="1"/>
  <c r="E57" i="1"/>
  <c r="F57" i="1" s="1"/>
  <c r="G57" i="1" s="1"/>
  <c r="E58" i="1"/>
  <c r="F58" i="1" s="1"/>
  <c r="G58" i="1" s="1"/>
  <c r="E59" i="1"/>
  <c r="F59" i="1" s="1"/>
  <c r="G59" i="1" s="1"/>
  <c r="E60" i="1"/>
  <c r="F60" i="1"/>
  <c r="G60" i="1" s="1"/>
  <c r="E61" i="1"/>
  <c r="F61" i="1"/>
  <c r="G61" i="1"/>
  <c r="E62" i="1"/>
  <c r="F62" i="1"/>
  <c r="G62" i="1" s="1"/>
  <c r="E63" i="1"/>
  <c r="F63" i="1" s="1"/>
  <c r="G63" i="1" s="1"/>
  <c r="E64" i="1"/>
  <c r="F64" i="1" s="1"/>
  <c r="G64" i="1" s="1"/>
  <c r="E65" i="1"/>
  <c r="F65" i="1"/>
  <c r="G65" i="1" s="1"/>
  <c r="J48" i="1"/>
  <c r="K48" i="1" s="1"/>
  <c r="J49" i="1"/>
  <c r="K49" i="1"/>
  <c r="J50" i="1"/>
  <c r="K50" i="1" s="1"/>
  <c r="J51" i="1"/>
  <c r="K51" i="1"/>
  <c r="J52" i="1"/>
  <c r="K52" i="1" s="1"/>
  <c r="J53" i="1"/>
  <c r="K53" i="1"/>
  <c r="J54" i="1"/>
  <c r="K54" i="1"/>
  <c r="J55" i="1"/>
  <c r="K55" i="1" s="1"/>
  <c r="J56" i="1"/>
  <c r="K56" i="1" s="1"/>
  <c r="E48" i="1"/>
  <c r="F48" i="1" s="1"/>
  <c r="G48" i="1" s="1"/>
  <c r="E49" i="1"/>
  <c r="F49" i="1" s="1"/>
  <c r="G49" i="1" s="1"/>
  <c r="E50" i="1"/>
  <c r="F50" i="1" s="1"/>
  <c r="E51" i="1"/>
  <c r="F51" i="1" s="1"/>
  <c r="G51" i="1" s="1"/>
  <c r="E52" i="1"/>
  <c r="F52" i="1" s="1"/>
  <c r="E53" i="1"/>
  <c r="F53" i="1" s="1"/>
  <c r="G53" i="1" s="1"/>
  <c r="E54" i="1"/>
  <c r="F54" i="1" s="1"/>
  <c r="E55" i="1"/>
  <c r="F55" i="1" s="1"/>
  <c r="G55" i="1" s="1"/>
  <c r="E56" i="1"/>
  <c r="F56" i="1"/>
  <c r="G56" i="1"/>
  <c r="J47" i="1"/>
  <c r="K47" i="1" s="1"/>
  <c r="J46" i="1"/>
  <c r="K46" i="1" s="1"/>
  <c r="J43" i="1"/>
  <c r="K43" i="1" s="1"/>
  <c r="K40" i="1"/>
  <c r="J41" i="1"/>
  <c r="K41" i="1" s="1"/>
  <c r="E47" i="1"/>
  <c r="F47" i="1" s="1"/>
  <c r="G47" i="1" s="1"/>
  <c r="E46" i="1"/>
  <c r="F46" i="1" s="1"/>
  <c r="G46" i="1" s="1"/>
  <c r="E45" i="1"/>
  <c r="F45" i="1" s="1"/>
  <c r="G45" i="1" s="1"/>
  <c r="J45" i="1" s="1"/>
  <c r="K45" i="1" s="1"/>
  <c r="E44" i="1"/>
  <c r="F44" i="1" s="1"/>
  <c r="G44" i="1" s="1"/>
  <c r="J44" i="1" s="1"/>
  <c r="K44" i="1" s="1"/>
  <c r="E43" i="1"/>
  <c r="F43" i="1" s="1"/>
  <c r="G43" i="1" s="1"/>
  <c r="E42" i="1"/>
  <c r="F42" i="1" s="1"/>
  <c r="G42" i="1" s="1"/>
  <c r="J42" i="1" s="1"/>
  <c r="K42" i="1" s="1"/>
  <c r="E41" i="1"/>
  <c r="F41" i="1" s="1"/>
  <c r="E40" i="1"/>
  <c r="F40" i="1" s="1"/>
  <c r="G40" i="1" s="1"/>
  <c r="J39" i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E39" i="1"/>
  <c r="F39" i="1" s="1"/>
  <c r="E38" i="1"/>
  <c r="F38" i="1" s="1"/>
  <c r="G38" i="1" s="1"/>
  <c r="E37" i="1"/>
  <c r="F37" i="1"/>
  <c r="G37" i="1" s="1"/>
  <c r="E36" i="1"/>
  <c r="F36" i="1" s="1"/>
  <c r="G36" i="1" s="1"/>
  <c r="E35" i="1"/>
  <c r="F35" i="1" s="1"/>
  <c r="G35" i="1" s="1"/>
  <c r="E34" i="1"/>
  <c r="F34" i="1"/>
  <c r="G34" i="1" s="1"/>
  <c r="E33" i="1"/>
  <c r="F33" i="1" s="1"/>
  <c r="E32" i="1"/>
  <c r="F32" i="1" s="1"/>
  <c r="G32" i="1" s="1"/>
  <c r="E31" i="1"/>
  <c r="F31" i="1" s="1"/>
  <c r="G31" i="1" s="1"/>
  <c r="J31" i="1" s="1"/>
  <c r="J23" i="1" l="1"/>
  <c r="K23" i="1" s="1"/>
  <c r="J24" i="1"/>
  <c r="K24" i="1" s="1"/>
  <c r="J26" i="1"/>
  <c r="K26" i="1" s="1"/>
  <c r="K27" i="1"/>
  <c r="J28" i="1"/>
  <c r="K28" i="1" s="1"/>
  <c r="J29" i="1"/>
  <c r="K29" i="1" s="1"/>
  <c r="J30" i="1"/>
  <c r="K30" i="1" s="1"/>
  <c r="E30" i="1"/>
  <c r="F30" i="1"/>
  <c r="E29" i="1"/>
  <c r="F29" i="1"/>
  <c r="E28" i="1"/>
  <c r="F28" i="1" s="1"/>
  <c r="G28" i="1" s="1"/>
  <c r="E27" i="1"/>
  <c r="F27" i="1" s="1"/>
  <c r="G27" i="1" s="1"/>
  <c r="J27" i="1" s="1"/>
  <c r="E26" i="1"/>
  <c r="F26" i="1" s="1"/>
  <c r="E25" i="1"/>
  <c r="F25" i="1" s="1"/>
  <c r="G25" i="1" s="1"/>
  <c r="J25" i="1" s="1"/>
  <c r="K25" i="1" s="1"/>
  <c r="E24" i="1"/>
  <c r="F24" i="1"/>
  <c r="G24" i="1" s="1"/>
  <c r="E23" i="1"/>
  <c r="F23" i="1" s="1"/>
  <c r="E22" i="1"/>
  <c r="F22" i="1" s="1"/>
  <c r="G22" i="1" s="1"/>
  <c r="J22" i="1" s="1"/>
  <c r="K22" i="1" s="1"/>
  <c r="E9" i="2"/>
  <c r="F9" i="2" s="1"/>
  <c r="G9" i="2" s="1"/>
  <c r="J9" i="2"/>
  <c r="K9" i="2" s="1"/>
  <c r="E10" i="2"/>
  <c r="F10" i="2" s="1"/>
  <c r="G10" i="2" s="1"/>
  <c r="J10" i="2"/>
  <c r="K10" i="2" s="1"/>
  <c r="E7" i="2"/>
  <c r="F7" i="2" s="1"/>
  <c r="G7" i="2" s="1"/>
  <c r="J7" i="2"/>
  <c r="K7" i="2" s="1"/>
  <c r="E8" i="2"/>
  <c r="F8" i="2"/>
  <c r="G8" i="2"/>
  <c r="J8" i="2"/>
  <c r="K8" i="2" s="1"/>
  <c r="J6" i="13"/>
  <c r="L6" i="13" s="1"/>
  <c r="J12" i="1"/>
  <c r="J13" i="1"/>
  <c r="K13" i="1" s="1"/>
  <c r="J6" i="2"/>
  <c r="K6" i="2" s="1"/>
  <c r="E6" i="2"/>
  <c r="F6" i="2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E13" i="1"/>
  <c r="F13" i="1" s="1"/>
  <c r="G13" i="1" s="1"/>
  <c r="E14" i="1"/>
  <c r="F14" i="1" s="1"/>
  <c r="G14" i="1" s="1"/>
  <c r="J14" i="1" s="1"/>
  <c r="K14" i="1" s="1"/>
  <c r="E15" i="1"/>
  <c r="F15" i="1" s="1"/>
  <c r="G15" i="1" s="1"/>
  <c r="J15" i="1" s="1"/>
  <c r="K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1" i="1"/>
  <c r="F21" i="1" s="1"/>
  <c r="K10" i="1"/>
  <c r="J5" i="13"/>
  <c r="E5" i="2"/>
  <c r="F5" i="2" s="1"/>
  <c r="G5" i="2" s="1"/>
  <c r="J5" i="2" s="1"/>
  <c r="K5" i="2" s="1"/>
  <c r="J7" i="1"/>
  <c r="K7" i="1" s="1"/>
  <c r="J8" i="1"/>
  <c r="K8" i="1" s="1"/>
  <c r="J9" i="1"/>
  <c r="K9" i="1" s="1"/>
  <c r="J11" i="1"/>
  <c r="K11" i="1" s="1"/>
  <c r="J5" i="1"/>
  <c r="K5" i="1" s="1"/>
  <c r="E7" i="1"/>
  <c r="F7" i="1" s="1"/>
  <c r="E8" i="1"/>
  <c r="F8" i="1" s="1"/>
  <c r="G8" i="1" s="1"/>
  <c r="E9" i="1"/>
  <c r="F9" i="1" s="1"/>
  <c r="G9" i="1" s="1"/>
  <c r="E10" i="1"/>
  <c r="F10" i="1" s="1"/>
  <c r="G10" i="1" s="1"/>
  <c r="J10" i="1" s="1"/>
  <c r="E11" i="1"/>
  <c r="F11" i="1" s="1"/>
  <c r="G11" i="1" s="1"/>
  <c r="E12" i="1"/>
  <c r="F12" i="1" s="1"/>
  <c r="E6" i="1"/>
  <c r="F6" i="1" s="1"/>
  <c r="G6" i="1" s="1"/>
  <c r="J6" i="1" s="1"/>
  <c r="K6" i="1" s="1"/>
  <c r="E5" i="1"/>
  <c r="F5" i="1" s="1"/>
  <c r="G5" i="1" s="1"/>
  <c r="K12" i="1" l="1"/>
  <c r="L5" i="13"/>
</calcChain>
</file>

<file path=xl/sharedStrings.xml><?xml version="1.0" encoding="utf-8"?>
<sst xmlns="http://schemas.openxmlformats.org/spreadsheetml/2006/main" count="174" uniqueCount="58">
  <si>
    <t>ID</t>
  </si>
  <si>
    <t>Matched</t>
  </si>
  <si>
    <t>Starting</t>
  </si>
  <si>
    <t>Implied</t>
  </si>
  <si>
    <t>Adjusted</t>
  </si>
  <si>
    <t>Backing</t>
  </si>
  <si>
    <t>Outcome</t>
  </si>
  <si>
    <t>WON</t>
  </si>
  <si>
    <t>Profit (u)</t>
  </si>
  <si>
    <t>Unit (u)</t>
  </si>
  <si>
    <t>LOST</t>
  </si>
  <si>
    <t>Profit</t>
  </si>
  <si>
    <t>Team</t>
  </si>
  <si>
    <r>
      <rPr>
        <b/>
        <sz val="11"/>
        <color theme="1"/>
        <rFont val="Calibri"/>
        <family val="2"/>
        <scheme val="minor"/>
      </rPr>
      <t>Strategy</t>
    </r>
    <r>
      <rPr>
        <sz val="11"/>
        <color theme="1"/>
        <rFont val="Calibri"/>
        <family val="2"/>
        <scheme val="minor"/>
      </rPr>
      <t>: backing the favourite @ 20% above starting, in the first three quarters</t>
    </r>
  </si>
  <si>
    <t>Power</t>
  </si>
  <si>
    <t>Dockers</t>
  </si>
  <si>
    <t>Blues</t>
  </si>
  <si>
    <t>Lions</t>
  </si>
  <si>
    <t>Swans</t>
  </si>
  <si>
    <t>Suns</t>
  </si>
  <si>
    <t>Dogs</t>
  </si>
  <si>
    <t>Hawks</t>
  </si>
  <si>
    <t>Fees</t>
  </si>
  <si>
    <t>Put X1</t>
  </si>
  <si>
    <t>Put X2</t>
  </si>
  <si>
    <t>Call X1</t>
  </si>
  <si>
    <t>Call X2</t>
  </si>
  <si>
    <t>Expiry Price</t>
  </si>
  <si>
    <t>All figures in USD</t>
  </si>
  <si>
    <t>Upfront ($)</t>
  </si>
  <si>
    <t>Closing ($)</t>
  </si>
  <si>
    <r>
      <rPr>
        <b/>
        <sz val="11"/>
        <color theme="1"/>
        <rFont val="Calibri"/>
        <family val="2"/>
        <scheme val="minor"/>
      </rPr>
      <t>Strategy</t>
    </r>
    <r>
      <rPr>
        <sz val="11"/>
        <color theme="1"/>
        <rFont val="Calibri"/>
        <family val="2"/>
        <scheme val="minor"/>
      </rPr>
      <t>: iron condors, VOO, 30 days +- 5 days, deltas ~20 +-2, add puts and calls $15 each way, atleast 1/3 price to risk on entry</t>
    </r>
  </si>
  <si>
    <t>Crows</t>
  </si>
  <si>
    <t>Demons</t>
  </si>
  <si>
    <t>Cats</t>
  </si>
  <si>
    <t>Giants</t>
  </si>
  <si>
    <t>Saints</t>
  </si>
  <si>
    <t>Comesana</t>
  </si>
  <si>
    <t>Betfair take 6% in fees</t>
  </si>
  <si>
    <t>Griekspoor</t>
  </si>
  <si>
    <t>Alcaraz</t>
  </si>
  <si>
    <t>Andreeva</t>
  </si>
  <si>
    <r>
      <rPr>
        <b/>
        <sz val="11"/>
        <color theme="1"/>
        <rFont val="Calibri"/>
        <family val="2"/>
        <scheme val="minor"/>
      </rPr>
      <t>Strategy</t>
    </r>
    <r>
      <rPr>
        <sz val="11"/>
        <color theme="1"/>
        <rFont val="Calibri"/>
        <family val="2"/>
        <scheme val="minor"/>
      </rPr>
      <t>: backing the favourite @ 20% above starting, first to 5 games in first set</t>
    </r>
  </si>
  <si>
    <t>Expiry</t>
  </si>
  <si>
    <t>Magpies</t>
  </si>
  <si>
    <t>Kangaroos</t>
  </si>
  <si>
    <t>GWS</t>
  </si>
  <si>
    <t>DRAW</t>
  </si>
  <si>
    <t>Tigers</t>
  </si>
  <si>
    <t>Gauff</t>
  </si>
  <si>
    <t>Sinner</t>
  </si>
  <si>
    <t>Ruud</t>
  </si>
  <si>
    <t>Putinseva</t>
  </si>
  <si>
    <t>Keys</t>
  </si>
  <si>
    <t>Yastremska</t>
  </si>
  <si>
    <t>Molcan</t>
  </si>
  <si>
    <t>Ivan Justo</t>
  </si>
  <si>
    <t>Vallejo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</si>
</sst>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9" fontId="0" fillId="2" borderId="4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8" fontId="0" fillId="8" borderId="0" xfId="0" applyNumberFormat="1" applyFill="1" applyAlignment="1">
      <alignment horizontal="center"/>
    </xf>
    <xf numFmtId="0" fontId="0" fillId="7" borderId="6" xfId="0" applyFill="1" applyBorder="1" applyAlignment="1">
      <alignment horizontal="center"/>
    </xf>
    <xf numFmtId="9" fontId="0" fillId="2" borderId="7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2" fontId="3" fillId="7" borderId="6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3" fillId="6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2" fontId="3" fillId="6" borderId="5" xfId="0" applyNumberFormat="1" applyFont="1" applyFill="1" applyBorder="1" applyAlignment="1">
      <alignment horizontal="center"/>
    </xf>
    <xf numFmtId="2" fontId="3" fillId="6" borderId="7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0" xfId="0" applyFill="1" applyAlignment="1">
      <alignment horizontal="left"/>
    </xf>
    <xf numFmtId="0" fontId="0" fillId="6" borderId="1" xfId="0" quotePrefix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164" fontId="0" fillId="8" borderId="2" xfId="2" applyNumberFormat="1" applyFont="1" applyFill="1" applyBorder="1" applyAlignment="1">
      <alignment horizontal="center"/>
    </xf>
    <xf numFmtId="44" fontId="0" fillId="9" borderId="2" xfId="2" applyFont="1" applyFill="1" applyBorder="1" applyAlignment="1">
      <alignment horizontal="center"/>
    </xf>
    <xf numFmtId="44" fontId="5" fillId="7" borderId="2" xfId="2" applyFont="1" applyFill="1" applyBorder="1" applyAlignment="1">
      <alignment horizontal="center"/>
    </xf>
    <xf numFmtId="164" fontId="3" fillId="6" borderId="8" xfId="2" applyNumberFormat="1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164" fontId="3" fillId="6" borderId="2" xfId="2" applyNumberFormat="1" applyFont="1" applyFill="1" applyBorder="1" applyAlignment="1">
      <alignment horizontal="center"/>
    </xf>
    <xf numFmtId="9" fontId="0" fillId="2" borderId="2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6" xfId="1" applyFon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2" fontId="3" fillId="7" borderId="3" xfId="0" applyNumberFormat="1" applyFont="1" applyFill="1" applyBorder="1" applyAlignment="1">
      <alignment horizontal="center"/>
    </xf>
    <xf numFmtId="2" fontId="3" fillId="7" borderId="5" xfId="0" applyNumberFormat="1" applyFont="1" applyFill="1" applyBorder="1" applyAlignment="1">
      <alignment horizontal="center"/>
    </xf>
    <xf numFmtId="8" fontId="0" fillId="0" borderId="0" xfId="0" applyNumberFormat="1"/>
    <xf numFmtId="0" fontId="0" fillId="7" borderId="0" xfId="0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0" fontId="6" fillId="8" borderId="1" xfId="0" applyFont="1" applyFill="1" applyBorder="1" applyAlignment="1">
      <alignment horizontal="center"/>
    </xf>
    <xf numFmtId="15" fontId="0" fillId="5" borderId="2" xfId="0" applyNumberForma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2" fontId="3" fillId="7" borderId="1" xfId="0" applyNumberFormat="1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2" fontId="3" fillId="7" borderId="5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" fontId="3" fillId="6" borderId="0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9" fontId="0" fillId="2" borderId="3" xfId="1" applyFont="1" applyFill="1" applyBorder="1" applyAlignment="1">
      <alignment horizontal="center"/>
    </xf>
    <xf numFmtId="2" fontId="3" fillId="7" borderId="0" xfId="0" applyNumberFormat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9" fontId="0" fillId="2" borderId="3" xfId="1" applyNumberFormat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 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64F3-70C4-4428-8243-3F4213F2A2FD}">
  <sheetPr>
    <pageSetUpPr fitToPage="1"/>
  </sheetPr>
  <dimension ref="B2:K65"/>
  <sheetViews>
    <sheetView zoomScale="136" workbookViewId="0">
      <pane ySplit="4" topLeftCell="A55" activePane="bottomLeft" state="frozen"/>
      <selection pane="bottomLeft" activeCell="D66" sqref="D66"/>
    </sheetView>
  </sheetViews>
  <sheetFormatPr defaultColWidth="8.77734375" defaultRowHeight="14.4" x14ac:dyDescent="0.3"/>
  <cols>
    <col min="1" max="1" width="6.44140625" customWidth="1"/>
    <col min="2" max="2" width="4.33203125" style="1" customWidth="1"/>
    <col min="3" max="3" width="11" style="1" customWidth="1"/>
    <col min="4" max="11" width="10.109375" customWidth="1"/>
  </cols>
  <sheetData>
    <row r="2" spans="2:11" x14ac:dyDescent="0.3">
      <c r="B2" t="s">
        <v>13</v>
      </c>
      <c r="C2"/>
    </row>
    <row r="3" spans="2:11" ht="15" thickBot="1" x14ac:dyDescent="0.35">
      <c r="I3" s="7" t="s">
        <v>9</v>
      </c>
      <c r="J3" s="8">
        <v>55.55</v>
      </c>
      <c r="K3" s="8"/>
    </row>
    <row r="4" spans="2:11" ht="15" thickBot="1" x14ac:dyDescent="0.35">
      <c r="B4" s="13" t="s">
        <v>0</v>
      </c>
      <c r="C4" s="13" t="s">
        <v>12</v>
      </c>
      <c r="D4" s="16" t="s">
        <v>2</v>
      </c>
      <c r="E4" s="13" t="s">
        <v>3</v>
      </c>
      <c r="F4" s="17" t="s">
        <v>4</v>
      </c>
      <c r="G4" s="18" t="s">
        <v>5</v>
      </c>
      <c r="H4" s="18" t="s">
        <v>1</v>
      </c>
      <c r="I4" s="19" t="s">
        <v>6</v>
      </c>
      <c r="J4" s="14" t="s">
        <v>8</v>
      </c>
      <c r="K4" s="14" t="s">
        <v>11</v>
      </c>
    </row>
    <row r="5" spans="2:11" x14ac:dyDescent="0.3">
      <c r="B5" s="2">
        <v>1</v>
      </c>
      <c r="C5" s="46" t="s">
        <v>17</v>
      </c>
      <c r="D5" s="23">
        <v>1.34</v>
      </c>
      <c r="E5" s="41">
        <f>1/D5</f>
        <v>0.74626865671641784</v>
      </c>
      <c r="F5" s="21">
        <f>E5-0.2</f>
        <v>0.54626865671641789</v>
      </c>
      <c r="G5" s="22">
        <f>1/F5</f>
        <v>1.8306010928961749</v>
      </c>
      <c r="H5" s="23">
        <v>0</v>
      </c>
      <c r="I5" s="23" t="s">
        <v>7</v>
      </c>
      <c r="J5" s="24">
        <f>IF(H5=0,0,IF(I5="WON",(G5-1)*0.95,-1))</f>
        <v>0</v>
      </c>
      <c r="K5" s="25">
        <f>J5*J$3</f>
        <v>0</v>
      </c>
    </row>
    <row r="6" spans="2:11" x14ac:dyDescent="0.3">
      <c r="B6" s="3">
        <v>2</v>
      </c>
      <c r="C6" s="47" t="s">
        <v>16</v>
      </c>
      <c r="D6" s="52">
        <v>1.77</v>
      </c>
      <c r="E6" s="42">
        <f>1/D6</f>
        <v>0.56497175141242939</v>
      </c>
      <c r="F6" s="6">
        <f>E6-0.2</f>
        <v>0.36497175141242938</v>
      </c>
      <c r="G6" s="53">
        <f>1/F6</f>
        <v>2.7399380804953561</v>
      </c>
      <c r="H6" s="52">
        <v>0</v>
      </c>
      <c r="I6" s="52" t="s">
        <v>10</v>
      </c>
      <c r="J6" s="26">
        <f t="shared" ref="J6:J11" si="0">IF(H6=0,0,IF(I6="WON",(G6-1)*0.95,-1))</f>
        <v>0</v>
      </c>
      <c r="K6" s="27">
        <f t="shared" ref="K6:K12" si="1">J6*J$3</f>
        <v>0</v>
      </c>
    </row>
    <row r="7" spans="2:11" x14ac:dyDescent="0.3">
      <c r="B7" s="3">
        <v>3</v>
      </c>
      <c r="C7" s="47" t="s">
        <v>15</v>
      </c>
      <c r="D7" s="52">
        <v>1.91</v>
      </c>
      <c r="E7" s="42">
        <f t="shared" ref="E7:E12" si="2">1/D7</f>
        <v>0.52356020942408377</v>
      </c>
      <c r="F7" s="6">
        <f t="shared" ref="F7:F12" si="3">E7-0.2</f>
        <v>0.32356020942408376</v>
      </c>
      <c r="G7" s="53">
        <v>3.1</v>
      </c>
      <c r="H7" s="52">
        <v>0</v>
      </c>
      <c r="I7" s="52" t="s">
        <v>7</v>
      </c>
      <c r="J7" s="26">
        <f t="shared" si="0"/>
        <v>0</v>
      </c>
      <c r="K7" s="27">
        <f t="shared" si="1"/>
        <v>0</v>
      </c>
    </row>
    <row r="8" spans="2:11" x14ac:dyDescent="0.3">
      <c r="B8" s="3">
        <v>4</v>
      </c>
      <c r="C8" s="47" t="s">
        <v>14</v>
      </c>
      <c r="D8" s="52">
        <v>1.44</v>
      </c>
      <c r="E8" s="42">
        <f t="shared" si="2"/>
        <v>0.69444444444444442</v>
      </c>
      <c r="F8" s="6">
        <f t="shared" si="3"/>
        <v>0.49444444444444441</v>
      </c>
      <c r="G8" s="53">
        <f t="shared" ref="G8:G11" si="4">1/F8</f>
        <v>2.0224719101123596</v>
      </c>
      <c r="H8" s="52">
        <v>0</v>
      </c>
      <c r="I8" s="52" t="s">
        <v>7</v>
      </c>
      <c r="J8" s="26">
        <f t="shared" si="0"/>
        <v>0</v>
      </c>
      <c r="K8" s="27">
        <f t="shared" si="1"/>
        <v>0</v>
      </c>
    </row>
    <row r="9" spans="2:11" x14ac:dyDescent="0.3">
      <c r="B9" s="3">
        <v>5</v>
      </c>
      <c r="C9" s="47" t="s">
        <v>18</v>
      </c>
      <c r="D9" s="52">
        <v>1.19</v>
      </c>
      <c r="E9" s="42">
        <f t="shared" si="2"/>
        <v>0.84033613445378152</v>
      </c>
      <c r="F9" s="6">
        <f t="shared" si="3"/>
        <v>0.64033613445378146</v>
      </c>
      <c r="G9" s="53">
        <f t="shared" si="4"/>
        <v>1.5616797900262469</v>
      </c>
      <c r="H9" s="52">
        <v>0</v>
      </c>
      <c r="I9" s="52" t="s">
        <v>7</v>
      </c>
      <c r="J9" s="26">
        <f t="shared" si="0"/>
        <v>0</v>
      </c>
      <c r="K9" s="27">
        <f t="shared" si="1"/>
        <v>0</v>
      </c>
    </row>
    <row r="10" spans="2:11" x14ac:dyDescent="0.3">
      <c r="B10" s="3">
        <v>6</v>
      </c>
      <c r="C10" s="47" t="s">
        <v>19</v>
      </c>
      <c r="D10" s="52">
        <v>1.38</v>
      </c>
      <c r="E10" s="42">
        <f t="shared" si="2"/>
        <v>0.7246376811594204</v>
      </c>
      <c r="F10" s="6">
        <f t="shared" si="3"/>
        <v>0.52463768115942044</v>
      </c>
      <c r="G10" s="53">
        <f t="shared" si="4"/>
        <v>1.9060773480662978</v>
      </c>
      <c r="H10" s="52">
        <v>1</v>
      </c>
      <c r="I10" s="52" t="s">
        <v>10</v>
      </c>
      <c r="J10" s="26">
        <f t="shared" si="0"/>
        <v>-1</v>
      </c>
      <c r="K10" s="27">
        <f t="shared" si="1"/>
        <v>-55.55</v>
      </c>
    </row>
    <row r="11" spans="2:11" x14ac:dyDescent="0.3">
      <c r="B11" s="3">
        <v>7</v>
      </c>
      <c r="C11" s="47" t="s">
        <v>20</v>
      </c>
      <c r="D11" s="52">
        <v>1.02</v>
      </c>
      <c r="E11" s="42">
        <f t="shared" si="2"/>
        <v>0.98039215686274506</v>
      </c>
      <c r="F11" s="6">
        <f t="shared" si="3"/>
        <v>0.78039215686274499</v>
      </c>
      <c r="G11" s="53">
        <f t="shared" si="4"/>
        <v>1.2814070351758795</v>
      </c>
      <c r="H11" s="52">
        <v>0</v>
      </c>
      <c r="I11" s="52" t="s">
        <v>7</v>
      </c>
      <c r="J11" s="26">
        <f t="shared" si="0"/>
        <v>0</v>
      </c>
      <c r="K11" s="27">
        <f t="shared" si="1"/>
        <v>0</v>
      </c>
    </row>
    <row r="12" spans="2:11" ht="15" thickBot="1" x14ac:dyDescent="0.35">
      <c r="B12" s="4">
        <v>8</v>
      </c>
      <c r="C12" s="48" t="s">
        <v>21</v>
      </c>
      <c r="D12" s="9">
        <v>1.74</v>
      </c>
      <c r="E12" s="43">
        <f t="shared" si="2"/>
        <v>0.57471264367816088</v>
      </c>
      <c r="F12" s="10">
        <f t="shared" si="3"/>
        <v>0.37471264367816087</v>
      </c>
      <c r="G12" s="12">
        <v>2.68</v>
      </c>
      <c r="H12" s="9">
        <v>1</v>
      </c>
      <c r="I12" s="9" t="s">
        <v>7</v>
      </c>
      <c r="J12" s="28">
        <f>IF(H12=0,0,IF(I12="WON",(G12-1)*0.94,-1))</f>
        <v>1.5792000000000002</v>
      </c>
      <c r="K12" s="29">
        <f t="shared" si="1"/>
        <v>87.724560000000011</v>
      </c>
    </row>
    <row r="13" spans="2:11" x14ac:dyDescent="0.3">
      <c r="B13" s="57">
        <v>9</v>
      </c>
      <c r="C13" s="57" t="s">
        <v>32</v>
      </c>
      <c r="D13" s="58">
        <v>1.2</v>
      </c>
      <c r="E13" s="41">
        <f t="shared" ref="E13:E47" si="5">1/D13</f>
        <v>0.83333333333333337</v>
      </c>
      <c r="F13" s="21">
        <f t="shared" ref="F13:F47" si="6">E13-0.2</f>
        <v>0.6333333333333333</v>
      </c>
      <c r="G13" s="59">
        <f t="shared" ref="G13:G20" si="7">1/F13</f>
        <v>1.5789473684210527</v>
      </c>
      <c r="H13" s="23">
        <v>0</v>
      </c>
      <c r="I13" s="23" t="s">
        <v>7</v>
      </c>
      <c r="J13" s="24">
        <f>IF(H13=0,0,IF(I13="WON",(G13-1)*0.95,-1))</f>
        <v>0</v>
      </c>
      <c r="K13" s="25">
        <f t="shared" ref="K13:K22" si="8">J13*J$3</f>
        <v>0</v>
      </c>
    </row>
    <row r="14" spans="2:11" x14ac:dyDescent="0.3">
      <c r="B14" s="44">
        <v>10</v>
      </c>
      <c r="C14" s="44" t="s">
        <v>15</v>
      </c>
      <c r="D14" s="5">
        <v>1.52</v>
      </c>
      <c r="E14" s="42">
        <f t="shared" si="5"/>
        <v>0.65789473684210531</v>
      </c>
      <c r="F14" s="6">
        <f t="shared" si="6"/>
        <v>0.4578947368421053</v>
      </c>
      <c r="G14" s="49">
        <f t="shared" si="7"/>
        <v>2.1839080459770113</v>
      </c>
      <c r="H14" s="52">
        <v>1</v>
      </c>
      <c r="I14" s="52" t="s">
        <v>7</v>
      </c>
      <c r="J14" s="26">
        <f>IF(H14=0,0,IF(I14="WON",(G14-1)*0.94,-1))</f>
        <v>1.1128735632183906</v>
      </c>
      <c r="K14" s="27">
        <f t="shared" si="8"/>
        <v>61.820126436781592</v>
      </c>
    </row>
    <row r="15" spans="2:11" x14ac:dyDescent="0.3">
      <c r="B15" s="44">
        <v>11</v>
      </c>
      <c r="C15" s="44" t="s">
        <v>17</v>
      </c>
      <c r="D15" s="5">
        <v>1.1499999999999999</v>
      </c>
      <c r="E15" s="42">
        <f t="shared" si="5"/>
        <v>0.86956521739130443</v>
      </c>
      <c r="F15" s="6">
        <f t="shared" si="6"/>
        <v>0.66956521739130448</v>
      </c>
      <c r="G15" s="49">
        <f t="shared" si="7"/>
        <v>1.4935064935064932</v>
      </c>
      <c r="H15" s="52">
        <v>1</v>
      </c>
      <c r="I15" s="52" t="s">
        <v>7</v>
      </c>
      <c r="J15" s="26">
        <f t="shared" ref="J15:J21" si="9">IF(H15=0,0,IF(I15="WON",(G15-1)*0.95,-1))</f>
        <v>0.46883116883116854</v>
      </c>
      <c r="K15" s="27">
        <f t="shared" si="8"/>
        <v>26.043571428571411</v>
      </c>
    </row>
    <row r="16" spans="2:11" x14ac:dyDescent="0.3">
      <c r="B16" s="44">
        <v>12</v>
      </c>
      <c r="C16" s="44" t="s">
        <v>33</v>
      </c>
      <c r="D16" s="5">
        <v>1.27</v>
      </c>
      <c r="E16" s="42">
        <f t="shared" si="5"/>
        <v>0.78740157480314954</v>
      </c>
      <c r="F16" s="6">
        <f t="shared" si="6"/>
        <v>0.58740157480314958</v>
      </c>
      <c r="G16" s="49">
        <f t="shared" si="7"/>
        <v>1.7024128686327078</v>
      </c>
      <c r="H16" s="52">
        <v>1</v>
      </c>
      <c r="I16" s="52" t="s">
        <v>10</v>
      </c>
      <c r="J16" s="26">
        <f t="shared" si="9"/>
        <v>-1</v>
      </c>
      <c r="K16" s="27">
        <f t="shared" si="8"/>
        <v>-55.55</v>
      </c>
    </row>
    <row r="17" spans="2:11" x14ac:dyDescent="0.3">
      <c r="B17" s="44">
        <v>13</v>
      </c>
      <c r="C17" s="44" t="s">
        <v>18</v>
      </c>
      <c r="D17" s="5">
        <v>1.77</v>
      </c>
      <c r="E17" s="42">
        <f t="shared" si="5"/>
        <v>0.56497175141242939</v>
      </c>
      <c r="F17" s="6">
        <f t="shared" si="6"/>
        <v>0.36497175141242938</v>
      </c>
      <c r="G17" s="49">
        <f t="shared" si="7"/>
        <v>2.7399380804953561</v>
      </c>
      <c r="H17" s="52">
        <v>0</v>
      </c>
      <c r="I17" s="52" t="s">
        <v>7</v>
      </c>
      <c r="J17" s="26">
        <f t="shared" si="9"/>
        <v>0</v>
      </c>
      <c r="K17" s="27">
        <f t="shared" si="8"/>
        <v>0</v>
      </c>
    </row>
    <row r="18" spans="2:11" x14ac:dyDescent="0.3">
      <c r="B18" s="44">
        <v>14</v>
      </c>
      <c r="C18" s="44" t="s">
        <v>21</v>
      </c>
      <c r="D18" s="5">
        <v>1.72</v>
      </c>
      <c r="E18" s="42">
        <f t="shared" si="5"/>
        <v>0.58139534883720934</v>
      </c>
      <c r="F18" s="6">
        <f t="shared" si="6"/>
        <v>0.38139534883720932</v>
      </c>
      <c r="G18" s="49">
        <f t="shared" si="7"/>
        <v>2.6219512195121948</v>
      </c>
      <c r="H18" s="52">
        <v>0</v>
      </c>
      <c r="I18" s="52" t="s">
        <v>7</v>
      </c>
      <c r="J18" s="26">
        <f t="shared" si="9"/>
        <v>0</v>
      </c>
      <c r="K18" s="27">
        <f t="shared" si="8"/>
        <v>0</v>
      </c>
    </row>
    <row r="19" spans="2:11" x14ac:dyDescent="0.3">
      <c r="B19" s="44">
        <v>15</v>
      </c>
      <c r="C19" s="44" t="s">
        <v>34</v>
      </c>
      <c r="D19" s="5">
        <v>1.0900000000000001</v>
      </c>
      <c r="E19" s="42">
        <f t="shared" si="5"/>
        <v>0.9174311926605504</v>
      </c>
      <c r="F19" s="6">
        <f t="shared" si="6"/>
        <v>0.71743119266055033</v>
      </c>
      <c r="G19" s="49">
        <f t="shared" si="7"/>
        <v>1.3938618925831205</v>
      </c>
      <c r="H19" s="52">
        <v>0</v>
      </c>
      <c r="I19" s="52" t="s">
        <v>7</v>
      </c>
      <c r="J19" s="26">
        <f t="shared" si="9"/>
        <v>0</v>
      </c>
      <c r="K19" s="27">
        <f t="shared" si="8"/>
        <v>0</v>
      </c>
    </row>
    <row r="20" spans="2:11" x14ac:dyDescent="0.3">
      <c r="B20" s="44">
        <v>16</v>
      </c>
      <c r="C20" s="44" t="s">
        <v>35</v>
      </c>
      <c r="D20" s="5">
        <v>1.1200000000000001</v>
      </c>
      <c r="E20" s="42">
        <f t="shared" si="5"/>
        <v>0.89285714285714279</v>
      </c>
      <c r="F20" s="6">
        <f t="shared" si="6"/>
        <v>0.69285714285714284</v>
      </c>
      <c r="G20" s="49">
        <f t="shared" si="7"/>
        <v>1.4432989690721649</v>
      </c>
      <c r="H20" s="52">
        <v>0</v>
      </c>
      <c r="I20" s="52" t="s">
        <v>7</v>
      </c>
      <c r="J20" s="26">
        <f t="shared" si="9"/>
        <v>0</v>
      </c>
      <c r="K20" s="27">
        <f t="shared" si="8"/>
        <v>0</v>
      </c>
    </row>
    <row r="21" spans="2:11" ht="15" thickBot="1" x14ac:dyDescent="0.35">
      <c r="B21" s="45">
        <v>17</v>
      </c>
      <c r="C21" s="45" t="s">
        <v>36</v>
      </c>
      <c r="D21" s="11">
        <v>1.8</v>
      </c>
      <c r="E21" s="43">
        <f t="shared" si="5"/>
        <v>0.55555555555555558</v>
      </c>
      <c r="F21" s="10">
        <f t="shared" si="6"/>
        <v>0.35555555555555557</v>
      </c>
      <c r="G21" s="50">
        <v>2.82</v>
      </c>
      <c r="H21" s="9">
        <v>0</v>
      </c>
      <c r="I21" s="9" t="s">
        <v>7</v>
      </c>
      <c r="J21" s="26">
        <f t="shared" si="9"/>
        <v>0</v>
      </c>
      <c r="K21" s="27">
        <f t="shared" si="8"/>
        <v>0</v>
      </c>
    </row>
    <row r="22" spans="2:11" x14ac:dyDescent="0.3">
      <c r="B22" s="46">
        <v>18</v>
      </c>
      <c r="C22" s="63" t="s">
        <v>44</v>
      </c>
      <c r="D22" s="58">
        <v>1.64</v>
      </c>
      <c r="E22" s="41">
        <f t="shared" si="5"/>
        <v>0.6097560975609756</v>
      </c>
      <c r="F22" s="60">
        <f t="shared" si="6"/>
        <v>0.40975609756097559</v>
      </c>
      <c r="G22" s="59">
        <f>1/F22</f>
        <v>2.4404761904761907</v>
      </c>
      <c r="H22" s="23">
        <v>1</v>
      </c>
      <c r="I22" s="62" t="s">
        <v>7</v>
      </c>
      <c r="J22" s="24">
        <f>IF(H22=0,0,IF(I22="WON",(G22-1)*0.94,-1))</f>
        <v>1.3540476190476192</v>
      </c>
      <c r="K22" s="25">
        <f t="shared" si="8"/>
        <v>75.217345238095234</v>
      </c>
    </row>
    <row r="23" spans="2:11" x14ac:dyDescent="0.3">
      <c r="B23" s="47">
        <v>19</v>
      </c>
      <c r="C23" s="64" t="s">
        <v>34</v>
      </c>
      <c r="D23" s="5">
        <v>1.59</v>
      </c>
      <c r="E23" s="42">
        <f t="shared" si="5"/>
        <v>0.62893081761006286</v>
      </c>
      <c r="F23" s="56">
        <f t="shared" si="6"/>
        <v>0.42893081761006285</v>
      </c>
      <c r="G23" s="49">
        <v>2.34</v>
      </c>
      <c r="H23" s="52">
        <v>0</v>
      </c>
      <c r="I23" s="74" t="s">
        <v>7</v>
      </c>
      <c r="J23" s="26">
        <f t="shared" ref="J23:J30" si="10">IF(H23=0,0,IF(I23="WON",(G23-1)*0.95,-1))</f>
        <v>0</v>
      </c>
      <c r="K23" s="27">
        <f t="shared" ref="K23:K30" si="11">J23*J$3</f>
        <v>0</v>
      </c>
    </row>
    <row r="24" spans="2:11" x14ac:dyDescent="0.3">
      <c r="B24" s="47">
        <v>20</v>
      </c>
      <c r="C24" s="64" t="s">
        <v>18</v>
      </c>
      <c r="D24" s="5">
        <v>1.3</v>
      </c>
      <c r="E24" s="42">
        <f t="shared" si="5"/>
        <v>0.76923076923076916</v>
      </c>
      <c r="F24" s="56">
        <f t="shared" si="6"/>
        <v>0.56923076923076921</v>
      </c>
      <c r="G24" s="49">
        <f t="shared" ref="G24:G28" si="12">1/F24</f>
        <v>1.7567567567567568</v>
      </c>
      <c r="H24" s="52">
        <v>0</v>
      </c>
      <c r="I24" s="74" t="s">
        <v>7</v>
      </c>
      <c r="J24" s="26">
        <f t="shared" si="10"/>
        <v>0</v>
      </c>
      <c r="K24" s="27">
        <f t="shared" si="11"/>
        <v>0</v>
      </c>
    </row>
    <row r="25" spans="2:11" x14ac:dyDescent="0.3">
      <c r="B25" s="47">
        <v>21</v>
      </c>
      <c r="C25" s="64" t="s">
        <v>19</v>
      </c>
      <c r="D25" s="5">
        <v>1.1200000000000001</v>
      </c>
      <c r="E25" s="42">
        <f t="shared" si="5"/>
        <v>0.89285714285714279</v>
      </c>
      <c r="F25" s="56">
        <f t="shared" si="6"/>
        <v>0.69285714285714284</v>
      </c>
      <c r="G25" s="49">
        <f t="shared" si="12"/>
        <v>1.4432989690721649</v>
      </c>
      <c r="H25" s="52">
        <v>1</v>
      </c>
      <c r="I25" s="74" t="s">
        <v>7</v>
      </c>
      <c r="J25" s="26">
        <f>IF(H25=0,0,IF(I25="WON",(G25-1)*0.94,-1))</f>
        <v>0.416701030927835</v>
      </c>
      <c r="K25" s="27">
        <f t="shared" si="11"/>
        <v>23.147742268041235</v>
      </c>
    </row>
    <row r="26" spans="2:11" x14ac:dyDescent="0.3">
      <c r="B26" s="47">
        <v>22</v>
      </c>
      <c r="C26" s="64" t="s">
        <v>21</v>
      </c>
      <c r="D26" s="5">
        <v>1.1499999999999999</v>
      </c>
      <c r="E26" s="42">
        <f t="shared" si="5"/>
        <v>0.86956521739130443</v>
      </c>
      <c r="F26" s="56">
        <f t="shared" si="6"/>
        <v>0.66956521739130448</v>
      </c>
      <c r="G26" s="49">
        <v>1.5</v>
      </c>
      <c r="H26" s="52">
        <v>0</v>
      </c>
      <c r="I26" s="75" t="s">
        <v>7</v>
      </c>
      <c r="J26" s="26">
        <f t="shared" si="10"/>
        <v>0</v>
      </c>
      <c r="K26" s="27">
        <f t="shared" si="11"/>
        <v>0</v>
      </c>
    </row>
    <row r="27" spans="2:11" x14ac:dyDescent="0.3">
      <c r="B27" s="47">
        <v>23</v>
      </c>
      <c r="C27" s="64" t="s">
        <v>32</v>
      </c>
      <c r="D27" s="5">
        <v>1.72</v>
      </c>
      <c r="E27" s="42">
        <f t="shared" si="5"/>
        <v>0.58139534883720934</v>
      </c>
      <c r="F27" s="56">
        <f t="shared" si="6"/>
        <v>0.38139534883720932</v>
      </c>
      <c r="G27" s="49">
        <f t="shared" si="12"/>
        <v>2.6219512195121948</v>
      </c>
      <c r="H27" s="52">
        <v>1</v>
      </c>
      <c r="I27" s="75" t="s">
        <v>7</v>
      </c>
      <c r="J27" s="26">
        <f>IF(H27=0,0,IF(I27="WON",(G27-1)*0.94,-1))</f>
        <v>1.524634146341463</v>
      </c>
      <c r="K27" s="27">
        <f t="shared" si="11"/>
        <v>84.693426829268262</v>
      </c>
    </row>
    <row r="28" spans="2:11" x14ac:dyDescent="0.3">
      <c r="B28" s="47">
        <v>24</v>
      </c>
      <c r="C28" s="64" t="s">
        <v>45</v>
      </c>
      <c r="D28" s="5">
        <v>1.3</v>
      </c>
      <c r="E28" s="42">
        <f t="shared" si="5"/>
        <v>0.76923076923076916</v>
      </c>
      <c r="F28" s="56">
        <f t="shared" si="6"/>
        <v>0.56923076923076921</v>
      </c>
      <c r="G28" s="49">
        <f t="shared" si="12"/>
        <v>1.7567567567567568</v>
      </c>
      <c r="H28" s="52">
        <v>0</v>
      </c>
      <c r="I28" s="74" t="s">
        <v>7</v>
      </c>
      <c r="J28" s="26">
        <f t="shared" si="10"/>
        <v>0</v>
      </c>
      <c r="K28" s="27">
        <f t="shared" si="11"/>
        <v>0</v>
      </c>
    </row>
    <row r="29" spans="2:11" x14ac:dyDescent="0.3">
      <c r="B29" s="47">
        <v>25</v>
      </c>
      <c r="C29" s="64" t="s">
        <v>17</v>
      </c>
      <c r="D29" s="5">
        <v>1.36</v>
      </c>
      <c r="E29" s="42">
        <f t="shared" si="5"/>
        <v>0.73529411764705876</v>
      </c>
      <c r="F29" s="56">
        <f t="shared" si="6"/>
        <v>0.5352941176470587</v>
      </c>
      <c r="G29" s="49">
        <v>1.88</v>
      </c>
      <c r="H29" s="52">
        <v>1</v>
      </c>
      <c r="I29" s="74" t="s">
        <v>10</v>
      </c>
      <c r="J29" s="26">
        <f t="shared" si="10"/>
        <v>-1</v>
      </c>
      <c r="K29" s="27">
        <f t="shared" si="11"/>
        <v>-55.55</v>
      </c>
    </row>
    <row r="30" spans="2:11" ht="15" thickBot="1" x14ac:dyDescent="0.35">
      <c r="B30" s="47">
        <v>26</v>
      </c>
      <c r="C30" s="64" t="s">
        <v>15</v>
      </c>
      <c r="D30" s="11">
        <v>1.1100000000000001</v>
      </c>
      <c r="E30" s="43">
        <f t="shared" si="5"/>
        <v>0.9009009009009008</v>
      </c>
      <c r="F30" s="61">
        <f t="shared" si="6"/>
        <v>0.70090090090090085</v>
      </c>
      <c r="G30" s="50">
        <v>1.44</v>
      </c>
      <c r="H30" s="9">
        <v>0</v>
      </c>
      <c r="I30" s="76" t="s">
        <v>7</v>
      </c>
      <c r="J30" s="26">
        <f t="shared" si="10"/>
        <v>0</v>
      </c>
      <c r="K30" s="27">
        <f t="shared" si="11"/>
        <v>0</v>
      </c>
    </row>
    <row r="31" spans="2:11" x14ac:dyDescent="0.3">
      <c r="B31" s="57">
        <v>27</v>
      </c>
      <c r="C31" s="65" t="s">
        <v>18</v>
      </c>
      <c r="D31" s="23">
        <v>1.35</v>
      </c>
      <c r="E31" s="41">
        <f t="shared" si="5"/>
        <v>0.7407407407407407</v>
      </c>
      <c r="F31" s="60">
        <f t="shared" si="6"/>
        <v>0.54074074074074074</v>
      </c>
      <c r="G31" s="68">
        <f>1/F31</f>
        <v>1.8493150684931507</v>
      </c>
      <c r="H31" s="71">
        <v>1</v>
      </c>
      <c r="I31" s="71" t="s">
        <v>7</v>
      </c>
      <c r="J31" s="24">
        <f>IF(H31=0,0,IF(I31="WON",(G31-1)*0.94,-1))</f>
        <v>0.79835616438356161</v>
      </c>
      <c r="K31" s="25">
        <v>45.8</v>
      </c>
    </row>
    <row r="32" spans="2:11" x14ac:dyDescent="0.3">
      <c r="B32" s="44">
        <v>28</v>
      </c>
      <c r="C32" s="66" t="s">
        <v>33</v>
      </c>
      <c r="D32" s="52">
        <v>1.1499999999999999</v>
      </c>
      <c r="E32" s="42">
        <f t="shared" si="5"/>
        <v>0.86956521739130443</v>
      </c>
      <c r="F32" s="56">
        <f t="shared" si="6"/>
        <v>0.66956521739130448</v>
      </c>
      <c r="G32" s="69">
        <f t="shared" ref="G32:G47" si="13">1/F32</f>
        <v>1.4935064935064932</v>
      </c>
      <c r="H32" s="73">
        <v>0</v>
      </c>
      <c r="I32" s="73" t="s">
        <v>7</v>
      </c>
      <c r="J32" s="26">
        <f t="shared" ref="J32:J38" si="14">IF(H32=0,0,IF(I32="WON",(G32-1)*0.95,-1))</f>
        <v>0</v>
      </c>
      <c r="K32" s="27">
        <f t="shared" ref="K32:K43" si="15">J32*J$3</f>
        <v>0</v>
      </c>
    </row>
    <row r="33" spans="2:11" x14ac:dyDescent="0.3">
      <c r="B33" s="44">
        <v>29</v>
      </c>
      <c r="C33" s="66" t="s">
        <v>21</v>
      </c>
      <c r="D33" s="52">
        <v>1.67</v>
      </c>
      <c r="E33" s="42">
        <f t="shared" si="5"/>
        <v>0.5988023952095809</v>
      </c>
      <c r="F33" s="56">
        <f t="shared" si="6"/>
        <v>0.39880239520958088</v>
      </c>
      <c r="G33" s="69">
        <v>2.52</v>
      </c>
      <c r="H33" s="73">
        <v>0</v>
      </c>
      <c r="I33" s="73" t="s">
        <v>7</v>
      </c>
      <c r="J33" s="26">
        <f t="shared" si="14"/>
        <v>0</v>
      </c>
      <c r="K33" s="27">
        <f t="shared" si="15"/>
        <v>0</v>
      </c>
    </row>
    <row r="34" spans="2:11" x14ac:dyDescent="0.3">
      <c r="B34" s="44">
        <v>30</v>
      </c>
      <c r="C34" s="66" t="s">
        <v>44</v>
      </c>
      <c r="D34" s="52">
        <v>1.42</v>
      </c>
      <c r="E34" s="42">
        <f t="shared" si="5"/>
        <v>0.70422535211267612</v>
      </c>
      <c r="F34" s="56">
        <f t="shared" si="6"/>
        <v>0.50422535211267605</v>
      </c>
      <c r="G34" s="69">
        <f t="shared" si="13"/>
        <v>1.9832402234636872</v>
      </c>
      <c r="H34" s="73">
        <v>0</v>
      </c>
      <c r="I34" s="73" t="s">
        <v>7</v>
      </c>
      <c r="J34" s="26">
        <f t="shared" si="14"/>
        <v>0</v>
      </c>
      <c r="K34" s="27">
        <f t="shared" si="15"/>
        <v>0</v>
      </c>
    </row>
    <row r="35" spans="2:11" x14ac:dyDescent="0.3">
      <c r="B35" s="44">
        <v>31</v>
      </c>
      <c r="C35" s="66" t="s">
        <v>34</v>
      </c>
      <c r="D35" s="52">
        <v>1.27</v>
      </c>
      <c r="E35" s="42">
        <f t="shared" si="5"/>
        <v>0.78740157480314954</v>
      </c>
      <c r="F35" s="56">
        <f t="shared" si="6"/>
        <v>0.58740157480314958</v>
      </c>
      <c r="G35" s="69">
        <f t="shared" si="13"/>
        <v>1.7024128686327078</v>
      </c>
      <c r="H35" s="73">
        <v>1</v>
      </c>
      <c r="I35" s="73" t="s">
        <v>10</v>
      </c>
      <c r="J35" s="26">
        <f t="shared" si="14"/>
        <v>-1</v>
      </c>
      <c r="K35" s="27">
        <f t="shared" si="15"/>
        <v>-55.55</v>
      </c>
    </row>
    <row r="36" spans="2:11" x14ac:dyDescent="0.3">
      <c r="B36" s="44">
        <v>32</v>
      </c>
      <c r="C36" s="66" t="s">
        <v>15</v>
      </c>
      <c r="D36" s="52">
        <v>1.1299999999999999</v>
      </c>
      <c r="E36" s="42">
        <f t="shared" si="5"/>
        <v>0.88495575221238942</v>
      </c>
      <c r="F36" s="56">
        <f t="shared" si="6"/>
        <v>0.68495575221238947</v>
      </c>
      <c r="G36" s="69">
        <f t="shared" si="13"/>
        <v>1.4599483204134365</v>
      </c>
      <c r="H36" s="73">
        <v>0</v>
      </c>
      <c r="I36" s="73" t="s">
        <v>7</v>
      </c>
      <c r="J36" s="26">
        <f t="shared" si="14"/>
        <v>0</v>
      </c>
      <c r="K36" s="27">
        <f t="shared" si="15"/>
        <v>0</v>
      </c>
    </row>
    <row r="37" spans="2:11" x14ac:dyDescent="0.3">
      <c r="B37" s="44">
        <v>33</v>
      </c>
      <c r="C37" s="66" t="s">
        <v>36</v>
      </c>
      <c r="D37" s="52">
        <v>1.1299999999999999</v>
      </c>
      <c r="E37" s="42">
        <f t="shared" si="5"/>
        <v>0.88495575221238942</v>
      </c>
      <c r="F37" s="56">
        <f t="shared" si="6"/>
        <v>0.68495575221238947</v>
      </c>
      <c r="G37" s="69">
        <f t="shared" si="13"/>
        <v>1.4599483204134365</v>
      </c>
      <c r="H37" s="73">
        <v>0</v>
      </c>
      <c r="I37" s="73" t="s">
        <v>7</v>
      </c>
      <c r="J37" s="26">
        <f t="shared" si="14"/>
        <v>0</v>
      </c>
      <c r="K37" s="27">
        <f t="shared" si="15"/>
        <v>0</v>
      </c>
    </row>
    <row r="38" spans="2:11" x14ac:dyDescent="0.3">
      <c r="B38" s="44">
        <v>34</v>
      </c>
      <c r="C38" s="66" t="s">
        <v>17</v>
      </c>
      <c r="D38" s="52">
        <v>1.37</v>
      </c>
      <c r="E38" s="42">
        <f t="shared" si="5"/>
        <v>0.72992700729927007</v>
      </c>
      <c r="F38" s="56">
        <f t="shared" si="6"/>
        <v>0.52992700729927011</v>
      </c>
      <c r="G38" s="69">
        <f t="shared" si="13"/>
        <v>1.887052341597796</v>
      </c>
      <c r="H38" s="73">
        <v>0</v>
      </c>
      <c r="I38" s="73" t="s">
        <v>7</v>
      </c>
      <c r="J38" s="26">
        <f t="shared" si="14"/>
        <v>0</v>
      </c>
      <c r="K38" s="27">
        <f t="shared" si="15"/>
        <v>0</v>
      </c>
    </row>
    <row r="39" spans="2:11" ht="15" thickBot="1" x14ac:dyDescent="0.35">
      <c r="B39" s="44">
        <v>35</v>
      </c>
      <c r="C39" s="67" t="s">
        <v>46</v>
      </c>
      <c r="D39" s="9">
        <v>1.52</v>
      </c>
      <c r="E39" s="43">
        <f t="shared" si="5"/>
        <v>0.65789473684210531</v>
      </c>
      <c r="F39" s="61">
        <f t="shared" si="6"/>
        <v>0.4578947368421053</v>
      </c>
      <c r="G39" s="70">
        <v>2.2200000000000002</v>
      </c>
      <c r="H39" s="72">
        <v>1</v>
      </c>
      <c r="I39" s="72" t="s">
        <v>7</v>
      </c>
      <c r="J39" s="28">
        <f>IF(H39=0,0,IF(I39="WON",(G39-1)*0.94,-1))</f>
        <v>1.1468</v>
      </c>
      <c r="K39" s="29">
        <v>65.739999999999995</v>
      </c>
    </row>
    <row r="40" spans="2:11" ht="15" thickBot="1" x14ac:dyDescent="0.35">
      <c r="B40" s="46">
        <v>36</v>
      </c>
      <c r="C40" s="64" t="s">
        <v>21</v>
      </c>
      <c r="D40" s="52">
        <v>1.28</v>
      </c>
      <c r="E40" s="42">
        <f t="shared" si="5"/>
        <v>0.78125</v>
      </c>
      <c r="F40" s="56">
        <f t="shared" si="6"/>
        <v>0.58125000000000004</v>
      </c>
      <c r="G40" s="69">
        <f t="shared" si="13"/>
        <v>1.7204301075268815</v>
      </c>
      <c r="H40" s="73">
        <v>1</v>
      </c>
      <c r="I40" s="73" t="s">
        <v>47</v>
      </c>
      <c r="J40" s="28">
        <v>-0.14000000000000001</v>
      </c>
      <c r="K40" s="27">
        <f t="shared" si="15"/>
        <v>-7.7770000000000001</v>
      </c>
    </row>
    <row r="41" spans="2:11" ht="15" thickBot="1" x14ac:dyDescent="0.35">
      <c r="B41" s="47">
        <v>37</v>
      </c>
      <c r="C41" s="64" t="s">
        <v>15</v>
      </c>
      <c r="D41" s="52">
        <v>1.54</v>
      </c>
      <c r="E41" s="42">
        <f t="shared" si="5"/>
        <v>0.64935064935064934</v>
      </c>
      <c r="F41" s="56">
        <f t="shared" si="6"/>
        <v>0.44935064935064933</v>
      </c>
      <c r="G41" s="69">
        <v>2.2400000000000002</v>
      </c>
      <c r="H41" s="73">
        <v>1</v>
      </c>
      <c r="I41" s="73" t="s">
        <v>7</v>
      </c>
      <c r="J41" s="28">
        <f t="shared" ref="J41:J47" si="16">IF(H41=0,0,IF(I41="WON",(G41-1)*0.94,-1))</f>
        <v>1.1656000000000002</v>
      </c>
      <c r="K41" s="27">
        <f t="shared" si="15"/>
        <v>64.749080000000006</v>
      </c>
    </row>
    <row r="42" spans="2:11" ht="15" thickBot="1" x14ac:dyDescent="0.35">
      <c r="B42" s="47">
        <v>38</v>
      </c>
      <c r="C42" s="64" t="s">
        <v>32</v>
      </c>
      <c r="D42" s="52">
        <v>1.7</v>
      </c>
      <c r="E42" s="42">
        <f t="shared" si="5"/>
        <v>0.58823529411764708</v>
      </c>
      <c r="F42" s="56">
        <f t="shared" si="6"/>
        <v>0.38823529411764707</v>
      </c>
      <c r="G42" s="69">
        <f t="shared" si="13"/>
        <v>2.5757575757575757</v>
      </c>
      <c r="H42" s="73">
        <v>1</v>
      </c>
      <c r="I42" s="73" t="s">
        <v>7</v>
      </c>
      <c r="J42" s="28">
        <f t="shared" si="16"/>
        <v>1.481212121212121</v>
      </c>
      <c r="K42" s="27">
        <f>J42*J$3+0.22</f>
        <v>82.501333333333321</v>
      </c>
    </row>
    <row r="43" spans="2:11" x14ac:dyDescent="0.3">
      <c r="B43" s="47">
        <v>39</v>
      </c>
      <c r="C43" s="64" t="s">
        <v>17</v>
      </c>
      <c r="D43" s="52">
        <v>1.0900000000000001</v>
      </c>
      <c r="E43" s="42">
        <f t="shared" si="5"/>
        <v>0.9174311926605504</v>
      </c>
      <c r="F43" s="56">
        <f t="shared" si="6"/>
        <v>0.71743119266055033</v>
      </c>
      <c r="G43" s="69">
        <f t="shared" si="13"/>
        <v>1.3938618925831205</v>
      </c>
      <c r="H43" s="73">
        <v>0</v>
      </c>
      <c r="I43" s="73" t="s">
        <v>7</v>
      </c>
      <c r="J43" s="26">
        <f t="shared" si="16"/>
        <v>0</v>
      </c>
      <c r="K43" s="27">
        <f t="shared" si="15"/>
        <v>0</v>
      </c>
    </row>
    <row r="44" spans="2:11" x14ac:dyDescent="0.3">
      <c r="B44" s="47">
        <v>40</v>
      </c>
      <c r="C44" s="64" t="s">
        <v>34</v>
      </c>
      <c r="D44" s="52">
        <v>1.28</v>
      </c>
      <c r="E44" s="42">
        <f t="shared" si="5"/>
        <v>0.78125</v>
      </c>
      <c r="F44" s="56">
        <f t="shared" si="6"/>
        <v>0.58125000000000004</v>
      </c>
      <c r="G44" s="69">
        <f t="shared" si="13"/>
        <v>1.7204301075268815</v>
      </c>
      <c r="H44" s="73">
        <v>1</v>
      </c>
      <c r="I44" s="73" t="s">
        <v>7</v>
      </c>
      <c r="J44" s="26">
        <f t="shared" si="16"/>
        <v>0.67720430107526863</v>
      </c>
      <c r="K44" s="27">
        <f>J44*J$3-0.02</f>
        <v>37.598698924731167</v>
      </c>
    </row>
    <row r="45" spans="2:11" x14ac:dyDescent="0.3">
      <c r="B45" s="47">
        <v>41</v>
      </c>
      <c r="C45" s="64" t="s">
        <v>36</v>
      </c>
      <c r="D45" s="52">
        <v>1.64</v>
      </c>
      <c r="E45" s="42">
        <f t="shared" si="5"/>
        <v>0.6097560975609756</v>
      </c>
      <c r="F45" s="56">
        <f t="shared" si="6"/>
        <v>0.40975609756097559</v>
      </c>
      <c r="G45" s="69">
        <f t="shared" si="13"/>
        <v>2.4404761904761907</v>
      </c>
      <c r="H45" s="73">
        <v>1</v>
      </c>
      <c r="I45" s="73" t="s">
        <v>7</v>
      </c>
      <c r="J45" s="26">
        <f t="shared" si="16"/>
        <v>1.3540476190476192</v>
      </c>
      <c r="K45" s="27">
        <f>J45*J$3-0.03</f>
        <v>75.187345238095233</v>
      </c>
    </row>
    <row r="46" spans="2:11" x14ac:dyDescent="0.3">
      <c r="B46" s="47">
        <v>42</v>
      </c>
      <c r="C46" s="64" t="s">
        <v>18</v>
      </c>
      <c r="D46" s="52">
        <v>1.2</v>
      </c>
      <c r="E46" s="42">
        <f t="shared" si="5"/>
        <v>0.83333333333333337</v>
      </c>
      <c r="F46" s="56">
        <f t="shared" si="6"/>
        <v>0.6333333333333333</v>
      </c>
      <c r="G46" s="69">
        <f t="shared" si="13"/>
        <v>1.5789473684210527</v>
      </c>
      <c r="H46" s="73">
        <v>0</v>
      </c>
      <c r="I46" s="73" t="s">
        <v>7</v>
      </c>
      <c r="J46" s="26">
        <f t="shared" si="16"/>
        <v>0</v>
      </c>
      <c r="K46" s="27">
        <f>J46*J$3</f>
        <v>0</v>
      </c>
    </row>
    <row r="47" spans="2:11" ht="15" thickBot="1" x14ac:dyDescent="0.35">
      <c r="B47" s="47">
        <v>43</v>
      </c>
      <c r="C47" s="64" t="s">
        <v>19</v>
      </c>
      <c r="D47" s="52">
        <v>1.61</v>
      </c>
      <c r="E47" s="42">
        <f t="shared" si="5"/>
        <v>0.6211180124223602</v>
      </c>
      <c r="F47" s="56">
        <f t="shared" si="6"/>
        <v>0.42111801242236019</v>
      </c>
      <c r="G47" s="69">
        <f t="shared" si="13"/>
        <v>2.3746312684365787</v>
      </c>
      <c r="H47" s="73">
        <v>0</v>
      </c>
      <c r="I47" s="73" t="s">
        <v>7</v>
      </c>
      <c r="J47" s="26">
        <f t="shared" si="16"/>
        <v>0</v>
      </c>
      <c r="K47" s="27">
        <f>J47*J$3</f>
        <v>0</v>
      </c>
    </row>
    <row r="48" spans="2:11" x14ac:dyDescent="0.3">
      <c r="B48" s="65">
        <v>44</v>
      </c>
      <c r="C48" s="57" t="s">
        <v>15</v>
      </c>
      <c r="D48" s="23">
        <v>1.76</v>
      </c>
      <c r="E48" s="41">
        <f t="shared" ref="E48:E56" si="17">1/D48</f>
        <v>0.56818181818181823</v>
      </c>
      <c r="F48" s="60">
        <f t="shared" ref="F48:F56" si="18">E48-0.2</f>
        <v>0.36818181818181822</v>
      </c>
      <c r="G48" s="68">
        <f t="shared" ref="G48:G56" si="19">1/F48</f>
        <v>2.716049382716049</v>
      </c>
      <c r="H48" s="77">
        <v>1</v>
      </c>
      <c r="I48" s="77" t="s">
        <v>7</v>
      </c>
      <c r="J48" s="24">
        <f t="shared" ref="J48:J57" si="20">IF(H48=0,0,IF(I48="WON",(G48-1)*0.94,-1))</f>
        <v>1.6130864197530861</v>
      </c>
      <c r="K48" s="25">
        <f t="shared" ref="K48:K57" si="21">J48*J$3</f>
        <v>89.606950617283928</v>
      </c>
    </row>
    <row r="49" spans="2:11" x14ac:dyDescent="0.3">
      <c r="B49" s="66">
        <v>45</v>
      </c>
      <c r="C49" s="44" t="s">
        <v>17</v>
      </c>
      <c r="D49" s="52">
        <v>1.1000000000000001</v>
      </c>
      <c r="E49" s="42">
        <f t="shared" si="17"/>
        <v>0.90909090909090906</v>
      </c>
      <c r="F49" s="56">
        <f t="shared" si="18"/>
        <v>0.70909090909090899</v>
      </c>
      <c r="G49" s="69">
        <f t="shared" si="19"/>
        <v>1.4102564102564104</v>
      </c>
      <c r="H49" s="73">
        <v>0</v>
      </c>
      <c r="I49" s="73" t="s">
        <v>7</v>
      </c>
      <c r="J49" s="26">
        <f t="shared" si="20"/>
        <v>0</v>
      </c>
      <c r="K49" s="27">
        <f t="shared" si="21"/>
        <v>0</v>
      </c>
    </row>
    <row r="50" spans="2:11" x14ac:dyDescent="0.3">
      <c r="B50" s="66">
        <v>46</v>
      </c>
      <c r="C50" s="44" t="s">
        <v>14</v>
      </c>
      <c r="D50" s="52">
        <v>1.93</v>
      </c>
      <c r="E50" s="42">
        <f t="shared" si="17"/>
        <v>0.5181347150259068</v>
      </c>
      <c r="F50" s="56">
        <f t="shared" si="18"/>
        <v>0.31813471502590679</v>
      </c>
      <c r="G50" s="69">
        <v>3.15</v>
      </c>
      <c r="H50" s="73">
        <v>1</v>
      </c>
      <c r="I50" s="73" t="s">
        <v>10</v>
      </c>
      <c r="J50" s="26">
        <f t="shared" si="20"/>
        <v>-1</v>
      </c>
      <c r="K50" s="27">
        <f t="shared" si="21"/>
        <v>-55.55</v>
      </c>
    </row>
    <row r="51" spans="2:11" x14ac:dyDescent="0.3">
      <c r="B51" s="66">
        <v>47</v>
      </c>
      <c r="C51" s="44" t="s">
        <v>18</v>
      </c>
      <c r="D51" s="52">
        <v>1.41</v>
      </c>
      <c r="E51" s="42">
        <f t="shared" si="17"/>
        <v>0.70921985815602839</v>
      </c>
      <c r="F51" s="56">
        <f t="shared" si="18"/>
        <v>0.50921985815602833</v>
      </c>
      <c r="G51" s="69">
        <f t="shared" si="19"/>
        <v>1.9637883008356547</v>
      </c>
      <c r="H51" s="73">
        <v>1</v>
      </c>
      <c r="I51" s="73" t="s">
        <v>7</v>
      </c>
      <c r="J51" s="26">
        <f t="shared" si="20"/>
        <v>0.90596100278551539</v>
      </c>
      <c r="K51" s="27">
        <f t="shared" si="21"/>
        <v>50.326133704735376</v>
      </c>
    </row>
    <row r="52" spans="2:11" x14ac:dyDescent="0.3">
      <c r="B52" s="66">
        <v>48</v>
      </c>
      <c r="C52" s="44" t="s">
        <v>35</v>
      </c>
      <c r="D52" s="52">
        <v>1.1200000000000001</v>
      </c>
      <c r="E52" s="42">
        <f t="shared" si="17"/>
        <v>0.89285714285714279</v>
      </c>
      <c r="F52" s="56">
        <f t="shared" si="18"/>
        <v>0.69285714285714284</v>
      </c>
      <c r="G52" s="69">
        <v>1.45</v>
      </c>
      <c r="H52" s="73">
        <v>1</v>
      </c>
      <c r="I52" s="73" t="s">
        <v>7</v>
      </c>
      <c r="J52" s="26">
        <f t="shared" si="20"/>
        <v>0.42299999999999993</v>
      </c>
      <c r="K52" s="27">
        <f t="shared" si="21"/>
        <v>23.497649999999997</v>
      </c>
    </row>
    <row r="53" spans="2:11" x14ac:dyDescent="0.3">
      <c r="B53" s="66">
        <v>49</v>
      </c>
      <c r="C53" s="44" t="s">
        <v>19</v>
      </c>
      <c r="D53" s="52">
        <v>1.45</v>
      </c>
      <c r="E53" s="42">
        <f t="shared" si="17"/>
        <v>0.68965517241379315</v>
      </c>
      <c r="F53" s="56">
        <f t="shared" si="18"/>
        <v>0.48965517241379314</v>
      </c>
      <c r="G53" s="69">
        <f t="shared" si="19"/>
        <v>2.0422535211267605</v>
      </c>
      <c r="H53" s="73">
        <v>1</v>
      </c>
      <c r="I53" s="73" t="s">
        <v>7</v>
      </c>
      <c r="J53" s="26">
        <f t="shared" si="20"/>
        <v>0.97971830985915487</v>
      </c>
      <c r="K53" s="27">
        <f t="shared" si="21"/>
        <v>54.423352112676049</v>
      </c>
    </row>
    <row r="54" spans="2:11" x14ac:dyDescent="0.3">
      <c r="B54" s="66">
        <v>50</v>
      </c>
      <c r="C54" s="44" t="s">
        <v>34</v>
      </c>
      <c r="D54" s="52">
        <v>1.51</v>
      </c>
      <c r="E54" s="42">
        <f t="shared" si="17"/>
        <v>0.66225165562913912</v>
      </c>
      <c r="F54" s="56">
        <f t="shared" si="18"/>
        <v>0.46225165562913911</v>
      </c>
      <c r="G54" s="69">
        <v>2.17</v>
      </c>
      <c r="H54" s="73">
        <v>0</v>
      </c>
      <c r="I54" s="73" t="s">
        <v>7</v>
      </c>
      <c r="J54" s="26">
        <f t="shared" si="20"/>
        <v>0</v>
      </c>
      <c r="K54" s="27">
        <f t="shared" si="21"/>
        <v>0</v>
      </c>
    </row>
    <row r="55" spans="2:11" x14ac:dyDescent="0.3">
      <c r="B55" s="66">
        <v>51</v>
      </c>
      <c r="C55" s="44" t="s">
        <v>33</v>
      </c>
      <c r="D55" s="52">
        <v>1.1200000000000001</v>
      </c>
      <c r="E55" s="42">
        <f t="shared" si="17"/>
        <v>0.89285714285714279</v>
      </c>
      <c r="F55" s="56">
        <f t="shared" si="18"/>
        <v>0.69285714285714284</v>
      </c>
      <c r="G55" s="69">
        <f t="shared" si="19"/>
        <v>1.4432989690721649</v>
      </c>
      <c r="H55" s="1">
        <v>0</v>
      </c>
      <c r="I55" s="1" t="s">
        <v>7</v>
      </c>
      <c r="J55" s="26">
        <f t="shared" si="20"/>
        <v>0</v>
      </c>
      <c r="K55" s="27">
        <f t="shared" si="21"/>
        <v>0</v>
      </c>
    </row>
    <row r="56" spans="2:11" ht="15" thickBot="1" x14ac:dyDescent="0.35">
      <c r="B56" s="67">
        <v>52</v>
      </c>
      <c r="C56" s="45" t="s">
        <v>48</v>
      </c>
      <c r="D56" s="9">
        <v>1.17</v>
      </c>
      <c r="E56" s="43">
        <f t="shared" si="17"/>
        <v>0.85470085470085477</v>
      </c>
      <c r="F56" s="61">
        <f t="shared" si="18"/>
        <v>0.65470085470085482</v>
      </c>
      <c r="G56" s="69">
        <f t="shared" si="19"/>
        <v>1.5274151436031329</v>
      </c>
      <c r="H56" s="79">
        <v>1</v>
      </c>
      <c r="I56" s="79" t="s">
        <v>7</v>
      </c>
      <c r="J56" s="26">
        <f t="shared" si="20"/>
        <v>0.49577023498694489</v>
      </c>
      <c r="K56" s="27">
        <f t="shared" si="21"/>
        <v>27.540036553524786</v>
      </c>
    </row>
    <row r="57" spans="2:11" ht="15" thickBot="1" x14ac:dyDescent="0.35">
      <c r="B57" s="46">
        <v>53</v>
      </c>
      <c r="C57" s="63" t="s">
        <v>17</v>
      </c>
      <c r="D57" s="77">
        <v>1.1200000000000001</v>
      </c>
      <c r="E57" s="43">
        <f t="shared" ref="E57:E65" si="22">1/D57</f>
        <v>0.89285714285714279</v>
      </c>
      <c r="F57" s="61">
        <f t="shared" ref="F57:F65" si="23">E57-0.2</f>
        <v>0.69285714285714284</v>
      </c>
      <c r="G57" s="68">
        <f t="shared" ref="G57:G65" si="24">1/F57</f>
        <v>1.4432989690721649</v>
      </c>
      <c r="H57" s="23">
        <v>1</v>
      </c>
      <c r="I57" s="62" t="s">
        <v>10</v>
      </c>
      <c r="J57" s="15">
        <f t="shared" ref="J57:J65" si="25">IF(H57=0,0,IF(I57="WON",(G57-1)*0.94,-1))</f>
        <v>-1</v>
      </c>
      <c r="K57" s="25">
        <f t="shared" ref="K57:K65" si="26">J57*J$3</f>
        <v>-55.55</v>
      </c>
    </row>
    <row r="58" spans="2:11" ht="15" thickBot="1" x14ac:dyDescent="0.35">
      <c r="B58" s="47">
        <v>54</v>
      </c>
      <c r="C58" s="83" t="s">
        <v>18</v>
      </c>
      <c r="D58" s="79">
        <v>1.18</v>
      </c>
      <c r="E58" s="43">
        <f t="shared" si="22"/>
        <v>0.84745762711864414</v>
      </c>
      <c r="F58" s="61">
        <f t="shared" si="23"/>
        <v>0.64745762711864407</v>
      </c>
      <c r="G58" s="69">
        <f t="shared" si="24"/>
        <v>1.544502617801047</v>
      </c>
      <c r="H58" s="82">
        <v>1</v>
      </c>
      <c r="I58" s="74" t="s">
        <v>7</v>
      </c>
      <c r="J58" s="80">
        <f t="shared" si="25"/>
        <v>0.51183246073298416</v>
      </c>
      <c r="K58" s="27">
        <f t="shared" si="26"/>
        <v>28.432293193717268</v>
      </c>
    </row>
    <row r="59" spans="2:11" ht="15" thickBot="1" x14ac:dyDescent="0.35">
      <c r="B59" s="47">
        <v>55</v>
      </c>
      <c r="C59" s="83" t="s">
        <v>19</v>
      </c>
      <c r="D59" s="79">
        <v>1.25</v>
      </c>
      <c r="E59" s="43">
        <f t="shared" si="22"/>
        <v>0.8</v>
      </c>
      <c r="F59" s="61">
        <f t="shared" si="23"/>
        <v>0.60000000000000009</v>
      </c>
      <c r="G59" s="69">
        <f t="shared" si="24"/>
        <v>1.6666666666666665</v>
      </c>
      <c r="H59" s="82">
        <v>0</v>
      </c>
      <c r="I59" s="74" t="s">
        <v>7</v>
      </c>
      <c r="J59" s="80">
        <f t="shared" si="25"/>
        <v>0</v>
      </c>
      <c r="K59" s="27">
        <f t="shared" si="26"/>
        <v>0</v>
      </c>
    </row>
    <row r="60" spans="2:11" ht="15" thickBot="1" x14ac:dyDescent="0.35">
      <c r="B60" s="47">
        <v>56</v>
      </c>
      <c r="C60" s="83" t="s">
        <v>32</v>
      </c>
      <c r="D60" s="79">
        <v>1.53</v>
      </c>
      <c r="E60" s="43">
        <f t="shared" si="22"/>
        <v>0.65359477124183007</v>
      </c>
      <c r="F60" s="61">
        <f t="shared" si="23"/>
        <v>0.45359477124183006</v>
      </c>
      <c r="G60" s="69">
        <f t="shared" si="24"/>
        <v>2.2046109510086453</v>
      </c>
      <c r="H60" s="82"/>
      <c r="I60" s="74"/>
      <c r="J60" s="80">
        <f t="shared" si="25"/>
        <v>0</v>
      </c>
      <c r="K60" s="27">
        <f t="shared" si="26"/>
        <v>0</v>
      </c>
    </row>
    <row r="61" spans="2:11" ht="15" thickBot="1" x14ac:dyDescent="0.35">
      <c r="B61" s="47">
        <v>57</v>
      </c>
      <c r="C61" s="83" t="s">
        <v>21</v>
      </c>
      <c r="D61" s="79">
        <v>1.49</v>
      </c>
      <c r="E61" s="43">
        <f t="shared" si="22"/>
        <v>0.67114093959731547</v>
      </c>
      <c r="F61" s="61">
        <f t="shared" si="23"/>
        <v>0.47114093959731546</v>
      </c>
      <c r="G61" s="69">
        <f t="shared" si="24"/>
        <v>2.1225071225071224</v>
      </c>
      <c r="H61" s="82"/>
      <c r="I61" s="74"/>
      <c r="J61" s="80">
        <f t="shared" si="25"/>
        <v>0</v>
      </c>
      <c r="K61" s="27">
        <f t="shared" si="26"/>
        <v>0</v>
      </c>
    </row>
    <row r="62" spans="2:11" ht="15" thickBot="1" x14ac:dyDescent="0.35">
      <c r="B62" s="47">
        <v>58</v>
      </c>
      <c r="C62" s="83" t="s">
        <v>20</v>
      </c>
      <c r="D62" s="79">
        <v>1.69</v>
      </c>
      <c r="E62" s="43">
        <f t="shared" si="22"/>
        <v>0.59171597633136097</v>
      </c>
      <c r="F62" s="61">
        <f t="shared" si="23"/>
        <v>0.39171597633136096</v>
      </c>
      <c r="G62" s="69">
        <f t="shared" si="24"/>
        <v>2.5528700906344408</v>
      </c>
      <c r="H62" s="82"/>
      <c r="I62" s="74"/>
      <c r="J62" s="80">
        <f t="shared" si="25"/>
        <v>0</v>
      </c>
      <c r="K62" s="27">
        <f t="shared" si="26"/>
        <v>0</v>
      </c>
    </row>
    <row r="63" spans="2:11" ht="15" thickBot="1" x14ac:dyDescent="0.35">
      <c r="B63" s="47">
        <v>59</v>
      </c>
      <c r="C63" s="83" t="s">
        <v>15</v>
      </c>
      <c r="D63" s="79">
        <v>1.21</v>
      </c>
      <c r="E63" s="43">
        <f t="shared" si="22"/>
        <v>0.82644628099173556</v>
      </c>
      <c r="F63" s="61">
        <f t="shared" si="23"/>
        <v>0.62644628099173549</v>
      </c>
      <c r="G63" s="69">
        <f t="shared" si="24"/>
        <v>1.5963060686015833</v>
      </c>
      <c r="H63" s="82"/>
      <c r="I63" s="74"/>
      <c r="J63" s="80">
        <f t="shared" si="25"/>
        <v>0</v>
      </c>
      <c r="K63" s="27">
        <f t="shared" si="26"/>
        <v>0</v>
      </c>
    </row>
    <row r="64" spans="2:11" ht="15" thickBot="1" x14ac:dyDescent="0.35">
      <c r="B64" s="47">
        <v>60</v>
      </c>
      <c r="C64" s="83" t="s">
        <v>36</v>
      </c>
      <c r="D64" s="79">
        <v>1.1200000000000001</v>
      </c>
      <c r="E64" s="43">
        <f t="shared" si="22"/>
        <v>0.89285714285714279</v>
      </c>
      <c r="F64" s="61">
        <f t="shared" si="23"/>
        <v>0.69285714285714284</v>
      </c>
      <c r="G64" s="69">
        <f t="shared" si="24"/>
        <v>1.4432989690721649</v>
      </c>
      <c r="H64" s="82"/>
      <c r="I64" s="74"/>
      <c r="J64" s="80">
        <f t="shared" si="25"/>
        <v>0</v>
      </c>
      <c r="K64" s="27">
        <f t="shared" si="26"/>
        <v>0</v>
      </c>
    </row>
    <row r="65" spans="2:11" ht="15" thickBot="1" x14ac:dyDescent="0.35">
      <c r="B65" s="48">
        <v>61</v>
      </c>
      <c r="C65" s="84" t="s">
        <v>46</v>
      </c>
      <c r="D65" s="78">
        <v>1.28</v>
      </c>
      <c r="E65" s="43">
        <f t="shared" si="22"/>
        <v>0.78125</v>
      </c>
      <c r="F65" s="61">
        <f t="shared" si="23"/>
        <v>0.58125000000000004</v>
      </c>
      <c r="G65" s="70">
        <f t="shared" si="24"/>
        <v>1.7204301075268815</v>
      </c>
      <c r="H65" s="9"/>
      <c r="I65" s="76"/>
      <c r="J65" s="81">
        <f t="shared" si="25"/>
        <v>0</v>
      </c>
      <c r="K65" s="29">
        <f t="shared" si="26"/>
        <v>0</v>
      </c>
    </row>
  </sheetData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AAB2-0352-4756-9D08-D38A00F624F2}">
  <dimension ref="B2:L18"/>
  <sheetViews>
    <sheetView tabSelected="1" topLeftCell="A4" zoomScale="165" workbookViewId="0">
      <selection activeCell="G19" sqref="G19"/>
    </sheetView>
  </sheetViews>
  <sheetFormatPr defaultColWidth="8.77734375" defaultRowHeight="14.4" x14ac:dyDescent="0.3"/>
  <cols>
    <col min="3" max="3" width="14.33203125" bestFit="1" customWidth="1"/>
    <col min="9" max="9" width="12" bestFit="1" customWidth="1"/>
  </cols>
  <sheetData>
    <row r="2" spans="2:12" x14ac:dyDescent="0.3">
      <c r="B2" t="s">
        <v>42</v>
      </c>
    </row>
    <row r="3" spans="2:12" ht="15" thickBot="1" x14ac:dyDescent="0.35">
      <c r="B3" s="1"/>
      <c r="C3" s="1"/>
      <c r="D3" t="s">
        <v>38</v>
      </c>
      <c r="I3" s="7" t="s">
        <v>9</v>
      </c>
      <c r="J3" s="8">
        <v>55.55</v>
      </c>
      <c r="K3" s="8"/>
    </row>
    <row r="4" spans="2:12" ht="15" thickBot="1" x14ac:dyDescent="0.35">
      <c r="B4" s="13" t="s">
        <v>0</v>
      </c>
      <c r="C4" s="13" t="s">
        <v>12</v>
      </c>
      <c r="D4" s="16" t="s">
        <v>2</v>
      </c>
      <c r="E4" s="13" t="s">
        <v>3</v>
      </c>
      <c r="F4" s="17" t="s">
        <v>4</v>
      </c>
      <c r="G4" s="18" t="s">
        <v>5</v>
      </c>
      <c r="H4" s="18" t="s">
        <v>1</v>
      </c>
      <c r="I4" s="19" t="s">
        <v>6</v>
      </c>
      <c r="J4" s="14" t="s">
        <v>8</v>
      </c>
      <c r="K4" s="14" t="s">
        <v>11</v>
      </c>
    </row>
    <row r="5" spans="2:12" ht="15" thickBot="1" x14ac:dyDescent="0.35">
      <c r="B5" s="2">
        <v>1</v>
      </c>
      <c r="C5" s="30" t="s">
        <v>37</v>
      </c>
      <c r="D5" s="31">
        <v>1.78</v>
      </c>
      <c r="E5" s="20">
        <f>1/D5</f>
        <v>0.5617977528089888</v>
      </c>
      <c r="F5" s="21">
        <f>E5-0.2</f>
        <v>0.36179775280898879</v>
      </c>
      <c r="G5" s="22">
        <f>1/F5</f>
        <v>2.7639751552795029</v>
      </c>
      <c r="H5" s="30">
        <v>1</v>
      </c>
      <c r="I5" s="31" t="s">
        <v>7</v>
      </c>
      <c r="J5" s="15">
        <f>IF(H5=0,0,IF(I5="WON",(G5-1),-1))</f>
        <v>1.7639751552795029</v>
      </c>
      <c r="K5" s="25">
        <f>J5*J$3*0.94-0.21</f>
        <v>91.8994906832298</v>
      </c>
      <c r="L5" s="51"/>
    </row>
    <row r="6" spans="2:12" ht="15" thickBot="1" x14ac:dyDescent="0.35">
      <c r="B6" s="2">
        <v>2</v>
      </c>
      <c r="C6" s="30" t="s">
        <v>39</v>
      </c>
      <c r="D6" s="31">
        <v>1.56</v>
      </c>
      <c r="E6" s="20">
        <f>1/D6</f>
        <v>0.64102564102564097</v>
      </c>
      <c r="F6" s="21">
        <f>E6-0.2</f>
        <v>0.44102564102564096</v>
      </c>
      <c r="G6" s="22">
        <v>2.2799999999999998</v>
      </c>
      <c r="H6" s="30">
        <v>1</v>
      </c>
      <c r="I6" s="31" t="s">
        <v>10</v>
      </c>
      <c r="J6" s="15">
        <f>IF(H6=0,0,IF(I6="WON",(G6-1),-1))</f>
        <v>-1</v>
      </c>
      <c r="K6" s="25">
        <f>J6*J$3</f>
        <v>-55.55</v>
      </c>
      <c r="L6" s="51"/>
    </row>
    <row r="7" spans="2:12" ht="15" thickBot="1" x14ac:dyDescent="0.35">
      <c r="B7" s="2">
        <v>3</v>
      </c>
      <c r="C7" s="54" t="s">
        <v>40</v>
      </c>
      <c r="D7" s="31">
        <v>1.1100000000000001</v>
      </c>
      <c r="E7" s="20">
        <f t="shared" ref="E7:E18" si="0">1/D7</f>
        <v>0.9009009009009008</v>
      </c>
      <c r="F7" s="21">
        <f t="shared" ref="F7:F18" si="1">E7-0.2</f>
        <v>0.70090090090090085</v>
      </c>
      <c r="G7" s="22">
        <f t="shared" ref="G7:G8" si="2">1/F7</f>
        <v>1.4267352185089976</v>
      </c>
      <c r="H7" s="30">
        <v>0</v>
      </c>
      <c r="I7" s="31" t="s">
        <v>7</v>
      </c>
      <c r="J7" s="15">
        <f t="shared" ref="J7:J8" si="3">IF(H7=0,0,IF(I7="WON",(G7-1),-1))</f>
        <v>0</v>
      </c>
      <c r="K7" s="25">
        <f t="shared" ref="K7:K10" si="4">J7*J$3</f>
        <v>0</v>
      </c>
    </row>
    <row r="8" spans="2:12" ht="15" thickBot="1" x14ac:dyDescent="0.35">
      <c r="B8" s="2">
        <v>4</v>
      </c>
      <c r="C8" s="54" t="s">
        <v>41</v>
      </c>
      <c r="D8" s="31">
        <v>1.42</v>
      </c>
      <c r="E8" s="20">
        <f t="shared" si="0"/>
        <v>0.70422535211267612</v>
      </c>
      <c r="F8" s="21">
        <f t="shared" si="1"/>
        <v>0.50422535211267605</v>
      </c>
      <c r="G8" s="22">
        <f t="shared" si="2"/>
        <v>1.9832402234636872</v>
      </c>
      <c r="H8" s="30">
        <v>0</v>
      </c>
      <c r="I8" s="31" t="s">
        <v>7</v>
      </c>
      <c r="J8" s="15">
        <f t="shared" si="3"/>
        <v>0</v>
      </c>
      <c r="K8" s="25">
        <f t="shared" si="4"/>
        <v>0</v>
      </c>
    </row>
    <row r="9" spans="2:12" ht="15" thickBot="1" x14ac:dyDescent="0.35">
      <c r="B9" s="2">
        <v>5</v>
      </c>
      <c r="C9" s="54" t="s">
        <v>49</v>
      </c>
      <c r="D9" s="31">
        <v>1.46</v>
      </c>
      <c r="E9" s="20">
        <f t="shared" si="0"/>
        <v>0.68493150684931503</v>
      </c>
      <c r="F9" s="21">
        <f t="shared" si="1"/>
        <v>0.48493150684931502</v>
      </c>
      <c r="G9" s="22">
        <f t="shared" ref="G9:G18" si="5">1/F9</f>
        <v>2.0621468926553677</v>
      </c>
      <c r="H9" s="30">
        <v>0</v>
      </c>
      <c r="I9" s="31" t="s">
        <v>7</v>
      </c>
      <c r="J9" s="15">
        <f t="shared" ref="J9:J10" si="6">IF(H9=0,0,IF(I9="WON",(G9-1),-1))</f>
        <v>0</v>
      </c>
      <c r="K9" s="25">
        <f t="shared" si="4"/>
        <v>0</v>
      </c>
    </row>
    <row r="10" spans="2:12" ht="15" thickBot="1" x14ac:dyDescent="0.35">
      <c r="B10" s="2">
        <v>6</v>
      </c>
      <c r="C10" s="54" t="s">
        <v>50</v>
      </c>
      <c r="D10" s="31">
        <v>1.06</v>
      </c>
      <c r="E10" s="20">
        <f t="shared" si="0"/>
        <v>0.94339622641509424</v>
      </c>
      <c r="F10" s="21">
        <f t="shared" si="1"/>
        <v>0.74339622641509417</v>
      </c>
      <c r="G10" s="22">
        <f t="shared" si="5"/>
        <v>1.3451776649746197</v>
      </c>
      <c r="H10" s="30">
        <v>0</v>
      </c>
      <c r="I10" s="31" t="s">
        <v>7</v>
      </c>
      <c r="J10" s="15">
        <f t="shared" si="6"/>
        <v>0</v>
      </c>
      <c r="K10" s="25">
        <f t="shared" si="4"/>
        <v>0</v>
      </c>
    </row>
    <row r="11" spans="2:12" ht="15" thickBot="1" x14ac:dyDescent="0.35">
      <c r="B11" s="2">
        <v>7</v>
      </c>
      <c r="C11" s="85" t="s">
        <v>51</v>
      </c>
      <c r="D11" s="86">
        <v>1.45</v>
      </c>
      <c r="E11" s="87">
        <f t="shared" si="0"/>
        <v>0.68965517241379315</v>
      </c>
      <c r="F11" s="6">
        <f t="shared" si="1"/>
        <v>0.48965517241379314</v>
      </c>
      <c r="G11" s="88">
        <f t="shared" si="5"/>
        <v>2.0422535211267605</v>
      </c>
      <c r="H11" s="89"/>
      <c r="J11" s="15">
        <f t="shared" ref="J11:J15" si="7">IF(H11=0,0,IF(I11="WON",(G11-1),-1))</f>
        <v>0</v>
      </c>
      <c r="K11" s="25">
        <f t="shared" ref="K11:K15" si="8">J11*J$3</f>
        <v>0</v>
      </c>
    </row>
    <row r="12" spans="2:12" ht="15" thickBot="1" x14ac:dyDescent="0.35">
      <c r="B12" s="2">
        <v>8</v>
      </c>
      <c r="C12" s="85" t="s">
        <v>52</v>
      </c>
      <c r="D12" s="86">
        <v>1.36</v>
      </c>
      <c r="E12" s="87">
        <f t="shared" si="0"/>
        <v>0.73529411764705876</v>
      </c>
      <c r="F12" s="6">
        <f t="shared" si="1"/>
        <v>0.5352941176470587</v>
      </c>
      <c r="G12" s="88">
        <f t="shared" si="5"/>
        <v>1.8681318681318686</v>
      </c>
      <c r="J12" s="15">
        <f t="shared" si="7"/>
        <v>0</v>
      </c>
      <c r="K12" s="25">
        <f t="shared" si="8"/>
        <v>0</v>
      </c>
    </row>
    <row r="13" spans="2:12" ht="15" thickBot="1" x14ac:dyDescent="0.35">
      <c r="B13" s="2">
        <v>9</v>
      </c>
      <c r="C13" s="85" t="s">
        <v>53</v>
      </c>
      <c r="D13" s="86">
        <v>1.22</v>
      </c>
      <c r="E13" s="87">
        <f t="shared" si="0"/>
        <v>0.81967213114754101</v>
      </c>
      <c r="F13" s="6">
        <f t="shared" si="1"/>
        <v>0.61967213114754105</v>
      </c>
      <c r="G13" s="88">
        <f t="shared" si="5"/>
        <v>1.6137566137566135</v>
      </c>
      <c r="J13" s="15">
        <f t="shared" si="7"/>
        <v>0</v>
      </c>
      <c r="K13" s="25">
        <f t="shared" si="8"/>
        <v>0</v>
      </c>
    </row>
    <row r="14" spans="2:12" ht="15" thickBot="1" x14ac:dyDescent="0.35">
      <c r="B14" s="2">
        <v>10</v>
      </c>
      <c r="C14" s="85" t="s">
        <v>54</v>
      </c>
      <c r="D14" s="86">
        <v>1.89</v>
      </c>
      <c r="E14" s="87">
        <f t="shared" si="0"/>
        <v>0.52910052910052918</v>
      </c>
      <c r="F14" s="6">
        <f t="shared" si="1"/>
        <v>0.32910052910052917</v>
      </c>
      <c r="G14" s="88">
        <v>3.05</v>
      </c>
      <c r="J14" s="15">
        <f t="shared" si="7"/>
        <v>0</v>
      </c>
      <c r="K14" s="25">
        <f t="shared" si="8"/>
        <v>0</v>
      </c>
    </row>
    <row r="15" spans="2:12" ht="15" thickBot="1" x14ac:dyDescent="0.35">
      <c r="B15" s="3">
        <v>11</v>
      </c>
      <c r="C15" s="85" t="s">
        <v>55</v>
      </c>
      <c r="D15" s="86">
        <v>1.84</v>
      </c>
      <c r="E15" s="87">
        <f t="shared" si="0"/>
        <v>0.54347826086956519</v>
      </c>
      <c r="F15" s="6">
        <f t="shared" si="1"/>
        <v>0.34347826086956518</v>
      </c>
      <c r="G15" s="88">
        <v>2.92</v>
      </c>
      <c r="J15" s="15">
        <f t="shared" si="7"/>
        <v>0</v>
      </c>
      <c r="K15" s="25">
        <f t="shared" si="8"/>
        <v>0</v>
      </c>
    </row>
    <row r="16" spans="2:12" ht="15" thickBot="1" x14ac:dyDescent="0.35">
      <c r="B16" s="3">
        <v>12</v>
      </c>
      <c r="C16" s="85" t="s">
        <v>50</v>
      </c>
      <c r="D16" s="86">
        <v>1.0900000000000001</v>
      </c>
      <c r="E16" s="87">
        <f t="shared" si="0"/>
        <v>0.9174311926605504</v>
      </c>
      <c r="F16" s="6">
        <f t="shared" si="1"/>
        <v>0.71743119266055033</v>
      </c>
      <c r="G16" s="88">
        <f t="shared" si="5"/>
        <v>1.3938618925831205</v>
      </c>
      <c r="J16" s="15">
        <f t="shared" ref="J16" si="9">IF(H16=0,0,IF(I16="WON",(G16-1),-1))</f>
        <v>0</v>
      </c>
      <c r="K16" s="25">
        <f t="shared" ref="K16" si="10">J16*J$3</f>
        <v>0</v>
      </c>
    </row>
    <row r="17" spans="2:11" ht="15" thickBot="1" x14ac:dyDescent="0.35">
      <c r="B17" s="3">
        <v>13</v>
      </c>
      <c r="C17" s="85" t="s">
        <v>56</v>
      </c>
      <c r="D17" s="86">
        <v>1.84</v>
      </c>
      <c r="E17" s="90">
        <f t="shared" si="0"/>
        <v>0.54347826086956519</v>
      </c>
      <c r="F17" s="6">
        <f t="shared" si="1"/>
        <v>0.34347826086956518</v>
      </c>
      <c r="G17" s="88">
        <v>2.92</v>
      </c>
      <c r="J17" s="15">
        <f t="shared" ref="J17:J18" si="11">IF(H17=0,0,IF(I17="WON",(G17-1),-1))</f>
        <v>0</v>
      </c>
      <c r="K17" s="25">
        <f t="shared" ref="K17:K18" si="12">J17*J$3</f>
        <v>0</v>
      </c>
    </row>
    <row r="18" spans="2:11" x14ac:dyDescent="0.3">
      <c r="B18" s="3">
        <v>14</v>
      </c>
      <c r="C18" s="85" t="s">
        <v>57</v>
      </c>
      <c r="D18" s="86">
        <v>1.79</v>
      </c>
      <c r="E18" s="90">
        <f t="shared" si="0"/>
        <v>0.55865921787709494</v>
      </c>
      <c r="F18" s="6">
        <f t="shared" si="1"/>
        <v>0.35865921787709493</v>
      </c>
      <c r="G18" s="88">
        <v>2.8</v>
      </c>
      <c r="J18" s="15">
        <f t="shared" si="11"/>
        <v>0</v>
      </c>
      <c r="K18" s="25">
        <f t="shared" si="12"/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4CAB-11EC-4DB3-9BD6-AF06D08A4FD3}">
  <dimension ref="B2:N6"/>
  <sheetViews>
    <sheetView zoomScale="147" workbookViewId="0">
      <selection activeCell="L12" sqref="L12"/>
    </sheetView>
  </sheetViews>
  <sheetFormatPr defaultColWidth="8.77734375" defaultRowHeight="14.4" x14ac:dyDescent="0.3"/>
  <cols>
    <col min="2" max="14" width="10.6640625" customWidth="1"/>
  </cols>
  <sheetData>
    <row r="2" spans="2:14" x14ac:dyDescent="0.3">
      <c r="B2" t="s">
        <v>31</v>
      </c>
    </row>
    <row r="3" spans="2:14" ht="15" thickBot="1" x14ac:dyDescent="0.35">
      <c r="B3" s="1"/>
      <c r="C3" s="1"/>
      <c r="D3" s="1"/>
      <c r="E3" s="1"/>
      <c r="K3" s="32" t="s">
        <v>28</v>
      </c>
      <c r="L3" s="7"/>
      <c r="M3" s="39"/>
      <c r="N3" s="39"/>
    </row>
    <row r="4" spans="2:14" ht="15" thickBot="1" x14ac:dyDescent="0.35">
      <c r="B4" s="13" t="s">
        <v>0</v>
      </c>
      <c r="C4" s="13" t="s">
        <v>43</v>
      </c>
      <c r="D4" s="13" t="s">
        <v>23</v>
      </c>
      <c r="E4" s="33" t="s">
        <v>24</v>
      </c>
      <c r="F4" s="13" t="s">
        <v>25</v>
      </c>
      <c r="G4" s="34" t="s">
        <v>26</v>
      </c>
      <c r="H4" s="17" t="s">
        <v>29</v>
      </c>
      <c r="I4" s="13" t="s">
        <v>27</v>
      </c>
      <c r="J4" s="13" t="s">
        <v>30</v>
      </c>
      <c r="K4" s="14" t="s">
        <v>22</v>
      </c>
      <c r="L4" s="14" t="s">
        <v>11</v>
      </c>
    </row>
    <row r="5" spans="2:14" ht="15" thickBot="1" x14ac:dyDescent="0.35">
      <c r="B5" s="2">
        <v>1</v>
      </c>
      <c r="C5" s="55"/>
      <c r="D5" s="35"/>
      <c r="E5" s="35"/>
      <c r="F5" s="35"/>
      <c r="G5" s="35"/>
      <c r="H5" s="36"/>
      <c r="I5" s="37"/>
      <c r="J5" s="36">
        <f t="shared" ref="J5:J6" si="0">IF(AND(I5&lt;=F5,I5&gt;=E5),0,IF(I5&lt;E5,MAX(I5-E5,D5-E5),MAX(F5-I5,F5-G5)))</f>
        <v>0</v>
      </c>
      <c r="K5" s="40"/>
      <c r="L5" s="38">
        <f t="shared" ref="L5:L6" si="1">(H5+J5)*100-K5</f>
        <v>0</v>
      </c>
    </row>
    <row r="6" spans="2:14" x14ac:dyDescent="0.3">
      <c r="B6" s="2">
        <v>2</v>
      </c>
      <c r="C6" s="55"/>
      <c r="D6" s="35"/>
      <c r="E6" s="35"/>
      <c r="F6" s="35"/>
      <c r="G6" s="35"/>
      <c r="H6" s="36"/>
      <c r="I6" s="37"/>
      <c r="J6" s="36">
        <f t="shared" si="0"/>
        <v>0</v>
      </c>
      <c r="K6" s="40"/>
      <c r="L6" s="38">
        <f t="shared" si="1"/>
        <v>0</v>
      </c>
    </row>
  </sheetData>
  <conditionalFormatting sqref="L5:L103">
    <cfRule type="cellIs" dxfId="1" priority="2" operator="lessThan">
      <formula>0</formula>
    </cfRule>
  </conditionalFormatting>
  <conditionalFormatting sqref="L5:L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AFL</vt:lpstr>
      <vt:lpstr>Tennis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Zandi</dc:creator>
  <cp:lastModifiedBy>Tim Zandi</cp:lastModifiedBy>
  <cp:lastPrinted>2026-04-02T11:09:08Z</cp:lastPrinted>
  <dcterms:created xsi:type="dcterms:W3CDTF">2026-04-02T10:33:03Z</dcterms:created>
  <dcterms:modified xsi:type="dcterms:W3CDTF">2026-05-15T13:05:37Z</dcterms:modified>
</cp:coreProperties>
</file>