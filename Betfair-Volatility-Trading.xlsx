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8_{97891604-C409-0C4F-8CF7-AF51834B5808}" xr6:coauthVersionLast="47" xr6:coauthVersionMax="47" xr10:uidLastSave="{00000000-0000-0000-0000-000000000000}"/>
  <bookViews>
    <workbookView xWindow="1520" yWindow="500" windowWidth="34400" windowHeight="190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2" i="1" l="1"/>
  <c r="K22" i="1" s="1"/>
  <c r="J23" i="1"/>
  <c r="K23" i="1" s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G23" i="1"/>
  <c r="G24" i="1"/>
  <c r="G25" i="1"/>
  <c r="G26" i="1"/>
  <c r="G27" i="1"/>
  <c r="G28" i="1"/>
  <c r="G29" i="1"/>
  <c r="G30" i="1"/>
  <c r="G22" i="1"/>
  <c r="E30" i="1"/>
  <c r="F30" i="1"/>
  <c r="E29" i="1"/>
  <c r="F29" i="1"/>
  <c r="E28" i="1"/>
  <c r="F28" i="1" s="1"/>
  <c r="E27" i="1"/>
  <c r="F27" i="1"/>
  <c r="E26" i="1"/>
  <c r="F26" i="1"/>
  <c r="E25" i="1"/>
  <c r="F25" i="1"/>
  <c r="E24" i="1"/>
  <c r="F24" i="1"/>
  <c r="E23" i="1"/>
  <c r="F23" i="1"/>
  <c r="E22" i="1"/>
  <c r="F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J6" i="13"/>
  <c r="L6" i="13" s="1"/>
  <c r="J12" i="1"/>
  <c r="J13" i="1"/>
  <c r="K13" i="1" s="1"/>
  <c r="J6" i="2"/>
  <c r="K6" i="2" s="1"/>
  <c r="E6" i="2"/>
  <c r="F6" i="2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<sst xmlns="http://schemas.openxmlformats.org/spreadsheetml/2006/main" count="140" uniqueCount="51">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</sst>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0" fontId="0" fillId="0" borderId="4" xfId="0" applyBorder="1"/>
    <xf numFmtId="9" fontId="0" fillId="2" borderId="6" xfId="0" applyNumberFormat="1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0" fontId="0" fillId="7" borderId="0" xfId="0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30"/>
  <sheetViews>
    <sheetView tabSelected="1" zoomScale="136" workbookViewId="0">
      <pane ySplit="4" topLeftCell="A5" activePane="bottomLeft" state="frozen"/>
      <selection pane="bottomLeft" activeCell="N26" sqref="N26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30" si="5">1/D13</f>
        <v>0.83333333333333337</v>
      </c>
      <c r="F13" s="21">
        <f t="shared" ref="F13:F30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6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5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7" t="s">
        <v>36</v>
      </c>
      <c r="D23" s="5">
        <v>1.56</v>
      </c>
      <c r="E23" s="42">
        <f t="shared" si="5"/>
        <v>0.64102564102564097</v>
      </c>
      <c r="F23" s="56">
        <f t="shared" si="6"/>
        <v>0.44102564102564096</v>
      </c>
      <c r="G23" s="49">
        <f t="shared" ref="G23:G30" si="10">1/F23</f>
        <v>2.2674418604651168</v>
      </c>
      <c r="H23" s="69">
        <v>0</v>
      </c>
      <c r="I23" s="61"/>
      <c r="J23" s="26">
        <f t="shared" ref="J23:J30" si="11">IF(H23=0,0,IF(I23="WON",(G23-1)*0.95,-1))</f>
        <v>0</v>
      </c>
      <c r="K23" s="27">
        <f t="shared" ref="K23:K30" si="12">J23*J$3</f>
        <v>0</v>
      </c>
    </row>
    <row r="24" spans="2:11" x14ac:dyDescent="0.2">
      <c r="B24" s="47">
        <v>20</v>
      </c>
      <c r="C24" s="67" t="s">
        <v>19</v>
      </c>
      <c r="D24" s="5">
        <v>1.33</v>
      </c>
      <c r="E24" s="42">
        <f t="shared" si="5"/>
        <v>0.75187969924812026</v>
      </c>
      <c r="F24" s="56">
        <f t="shared" si="6"/>
        <v>0.5518796992481203</v>
      </c>
      <c r="G24" s="49">
        <f t="shared" si="10"/>
        <v>1.8119891008174387</v>
      </c>
      <c r="H24" s="52">
        <v>0</v>
      </c>
      <c r="I24" s="61"/>
      <c r="J24" s="26">
        <f t="shared" si="11"/>
        <v>0</v>
      </c>
      <c r="K24" s="27">
        <f t="shared" si="12"/>
        <v>0</v>
      </c>
    </row>
    <row r="25" spans="2:11" x14ac:dyDescent="0.2">
      <c r="B25" s="47">
        <v>21</v>
      </c>
      <c r="C25" s="67" t="s">
        <v>20</v>
      </c>
      <c r="D25" s="5">
        <v>1.1000000000000001</v>
      </c>
      <c r="E25" s="42">
        <f t="shared" si="5"/>
        <v>0.90909090909090906</v>
      </c>
      <c r="F25" s="56">
        <f t="shared" si="6"/>
        <v>0.70909090909090899</v>
      </c>
      <c r="G25" s="49">
        <f t="shared" si="10"/>
        <v>1.4102564102564104</v>
      </c>
      <c r="I25" s="61"/>
      <c r="J25" s="26">
        <f t="shared" si="11"/>
        <v>0</v>
      </c>
      <c r="K25" s="27">
        <f t="shared" si="12"/>
        <v>0</v>
      </c>
    </row>
    <row r="26" spans="2:11" x14ac:dyDescent="0.2">
      <c r="B26" s="47">
        <v>22</v>
      </c>
      <c r="C26" s="67" t="s">
        <v>22</v>
      </c>
      <c r="D26" s="5">
        <v>1.1100000000000001</v>
      </c>
      <c r="E26" s="42">
        <f t="shared" si="5"/>
        <v>0.9009009009009008</v>
      </c>
      <c r="F26" s="56">
        <f t="shared" si="6"/>
        <v>0.70090090090090085</v>
      </c>
      <c r="G26" s="49">
        <f t="shared" si="10"/>
        <v>1.4267352185089976</v>
      </c>
      <c r="I26" s="61"/>
      <c r="J26" s="26">
        <f t="shared" si="11"/>
        <v>0</v>
      </c>
      <c r="K26" s="27">
        <f t="shared" si="12"/>
        <v>0</v>
      </c>
    </row>
    <row r="27" spans="2:11" x14ac:dyDescent="0.2">
      <c r="B27" s="47">
        <v>23</v>
      </c>
      <c r="C27" s="67" t="s">
        <v>34</v>
      </c>
      <c r="D27" s="5">
        <v>1.54</v>
      </c>
      <c r="E27" s="42">
        <f t="shared" si="5"/>
        <v>0.64935064935064934</v>
      </c>
      <c r="F27" s="56">
        <f t="shared" si="6"/>
        <v>0.44935064935064933</v>
      </c>
      <c r="G27" s="49">
        <f t="shared" si="10"/>
        <v>2.2254335260115607</v>
      </c>
      <c r="I27" s="61"/>
      <c r="J27" s="26">
        <f t="shared" si="11"/>
        <v>0</v>
      </c>
      <c r="K27" s="27">
        <f t="shared" si="12"/>
        <v>0</v>
      </c>
    </row>
    <row r="28" spans="2:11" x14ac:dyDescent="0.2">
      <c r="B28" s="47">
        <v>24</v>
      </c>
      <c r="C28" s="67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0"/>
        <v>1.7567567567567568</v>
      </c>
      <c r="I28" s="61"/>
      <c r="J28" s="26">
        <f t="shared" si="11"/>
        <v>0</v>
      </c>
      <c r="K28" s="27">
        <f t="shared" si="12"/>
        <v>0</v>
      </c>
    </row>
    <row r="29" spans="2:11" x14ac:dyDescent="0.2">
      <c r="B29" s="47">
        <v>25</v>
      </c>
      <c r="C29" s="67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f t="shared" si="10"/>
        <v>1.8681318681318686</v>
      </c>
      <c r="I29" s="61"/>
      <c r="J29" s="26">
        <f t="shared" si="11"/>
        <v>0</v>
      </c>
      <c r="K29" s="27">
        <f t="shared" si="12"/>
        <v>0</v>
      </c>
    </row>
    <row r="30" spans="2:11" ht="16" thickBot="1" x14ac:dyDescent="0.25">
      <c r="B30" s="48">
        <v>26</v>
      </c>
      <c r="C30" s="68" t="s">
        <v>16</v>
      </c>
      <c r="D30" s="11">
        <v>1.1100000000000001</v>
      </c>
      <c r="E30" s="43">
        <f t="shared" si="5"/>
        <v>0.9009009009009008</v>
      </c>
      <c r="F30" s="62">
        <f t="shared" si="6"/>
        <v>0.70090090090090085</v>
      </c>
      <c r="G30" s="50">
        <f t="shared" si="10"/>
        <v>1.4267352185089976</v>
      </c>
      <c r="H30" s="63"/>
      <c r="I30" s="64"/>
      <c r="J30" s="28">
        <f t="shared" si="11"/>
        <v>0</v>
      </c>
      <c r="K30" s="29">
        <f t="shared" si="12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2026-04-16T22:34:32Z</dcterms:modified>
</cp:coreProperties>
</file>