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m/Downloads/"/>
    </mc:Choice>
  </mc:AlternateContent>
  <xr:revisionPtr revIDLastSave="0" documentId="8_{6ED6FB63-8E07-7847-832E-3A56A62888BD}" xr6:coauthVersionLast="47" xr6:coauthVersionMax="47" xr10:uidLastSave="{00000000-0000-0000-0000-000000000000}"/>
  <bookViews>
    <workbookView xWindow="5660" yWindow="1460" windowWidth="24800" windowHeight="14860" xr2:uid="{C475443F-0BD3-43A3-A939-51219F6DA813}"/>
  </bookViews>
  <sheets>
    <sheet name="AFL" sheetId="1" r:id="rId1"/>
    <sheet name="Tennis" sheetId="2" r:id="rId2"/>
    <sheet name="Cricket" sheetId="9" r:id="rId3"/>
    <sheet name="Basketball" sheetId="10" r:id="rId4"/>
    <sheet name="NFL" sheetId="11" r:id="rId5"/>
    <sheet name="Options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2" l="1"/>
  <c r="F9" i="2" s="1"/>
  <c r="G9" i="2" s="1"/>
  <c r="J9" i="2"/>
  <c r="K9" i="2" s="1"/>
  <c r="E10" i="2"/>
  <c r="F10" i="2"/>
  <c r="G10" i="2"/>
  <c r="J10" i="2"/>
  <c r="K10" i="2" s="1"/>
  <c r="E7" i="2"/>
  <c r="F7" i="2" s="1"/>
  <c r="G7" i="2" s="1"/>
  <c r="J7" i="2"/>
  <c r="K7" i="2" s="1"/>
  <c r="E8" i="2"/>
  <c r="F8" i="2"/>
  <c r="G8" i="2"/>
  <c r="J8" i="2"/>
  <c r="K8" i="2" s="1"/>
  <c r="J14" i="1"/>
  <c r="K14" i="1" s="1"/>
  <c r="I15" i="13"/>
  <c r="K15" i="13" s="1"/>
  <c r="I14" i="13"/>
  <c r="K14" i="13" s="1"/>
  <c r="I13" i="13"/>
  <c r="K13" i="13" s="1"/>
  <c r="I12" i="13"/>
  <c r="K12" i="13" s="1"/>
  <c r="I11" i="13"/>
  <c r="K11" i="13" s="1"/>
  <c r="I10" i="13"/>
  <c r="K10" i="13" s="1"/>
  <c r="I9" i="13"/>
  <c r="K9" i="13" s="1"/>
  <c r="I8" i="13"/>
  <c r="K8" i="13" s="1"/>
  <c r="I7" i="13"/>
  <c r="K7" i="13" s="1"/>
  <c r="I6" i="13"/>
  <c r="K6" i="13" s="1"/>
  <c r="J12" i="1"/>
  <c r="J13" i="1"/>
  <c r="K13" i="1" s="1"/>
  <c r="J6" i="2"/>
  <c r="K6" i="2" s="1"/>
  <c r="E6" i="2"/>
  <c r="F6" i="2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E15" i="1"/>
  <c r="F15" i="1" s="1"/>
  <c r="G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G21" i="1" s="1"/>
  <c r="K10" i="1"/>
  <c r="I5" i="13"/>
  <c r="E5" i="11"/>
  <c r="F5" i="11" s="1"/>
  <c r="G5" i="11" s="1"/>
  <c r="J5" i="11" s="1"/>
  <c r="K5" i="11" s="1"/>
  <c r="E5" i="10"/>
  <c r="F5" i="10" s="1"/>
  <c r="G5" i="10" s="1"/>
  <c r="J5" i="10" s="1"/>
  <c r="K5" i="10" s="1"/>
  <c r="E5" i="9"/>
  <c r="F5" i="9" s="1"/>
  <c r="G5" i="9" s="1"/>
  <c r="J5" i="9" s="1"/>
  <c r="K5" i="9" s="1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K5" i="13"/>
</calcChain>
</file>

<file path=xl/sharedStrings.xml><?xml version="1.0" encoding="utf-8"?>
<sst xmlns="http://schemas.openxmlformats.org/spreadsheetml/2006/main" count="120" uniqueCount="47">
  <si>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</si>
  <si>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</si>
  <si>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</si>
  <si>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</si>
  <si>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</si>
  <si>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</si>
  <si>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</si>
  <si>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</si>
  <si>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</si>
  <si>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</si>
  <si>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</t>
    </r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</si>
  <si>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</si>
  <si>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</si>
  <si>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</si>
  <si>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</si>
  <si>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</si>
  <si>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</si>
  <si>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</si>
  <si>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</si>
  <si>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</si>
  <si>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</si>
  <si>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</si>
  <si>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</si>
  <si>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No Matches Yet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</si>
  <si>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</si>
  <si>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</si>
  <si>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</si>
  <si>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</si>
  <si>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</si>
  <si>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</si>
  <si>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</si>
  <si>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</si>
  <si>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</si>
  <si>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</si>
  <si>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</si>
  <si>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</si>
  <si>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</si>
  <si>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</si>
  <si>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</si>
  <si>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</si>
  <si>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</si>
  <si>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</si>
  <si>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</si>
  <si>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</si>
  <si>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t>Jovic</t>
  </si>
  <si>
    <t>Kostyuk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</si>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</sst>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;[Red]\-&quot;$&quot;#,##0.00"/>
    <numFmt numFmtId="165" formatCode="_-&quot;$&quot;* #,##0.00_-;\-&quot;$&quot;* #,##0.00_-;_-&quot;$&quot;* &quot;-&quot;??_-;_-@_-"/>
    <numFmt numFmtId="166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6" fontId="0" fillId="8" borderId="2" xfId="2" applyNumberFormat="1" applyFont="1" applyFill="1" applyBorder="1" applyAlignment="1">
      <alignment horizontal="center"/>
    </xf>
    <xf numFmtId="165" fontId="0" fillId="9" borderId="2" xfId="2" applyFont="1" applyFill="1" applyBorder="1" applyAlignment="1">
      <alignment horizontal="center"/>
    </xf>
    <xf numFmtId="165" fontId="5" fillId="7" borderId="2" xfId="2" applyFont="1" applyFill="1" applyBorder="1" applyAlignment="1">
      <alignment horizontal="center"/>
    </xf>
    <xf numFmtId="166" fontId="3" fillId="6" borderId="8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0" fontId="0" fillId="7" borderId="0" xfId="0" applyFill="1"/>
    <xf numFmtId="0" fontId="0" fillId="7" borderId="6" xfId="0" applyFill="1" applyBorder="1"/>
    <xf numFmtId="164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0" fontId="6" fillId="8" borderId="1" xfId="0" applyFont="1" applyFill="1" applyBorder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21"/>
  <sheetViews>
    <sheetView tabSelected="1" zoomScale="136" workbookViewId="0">
      <pane ySplit="4" topLeftCell="A11" activePane="bottomLeft" state="frozen"/>
      <selection pane="bottomLeft" activeCell="I25" sqref="I25"/>
    </sheetView>
  </sheetViews>
  <sheetFormatPr baseColWidth="10" defaultColWidth="8.83203125" defaultRowHeight="15" x14ac:dyDescent="0.2"/>
  <cols>
    <col min="1" max="1" width="6.5" customWidth="1"/>
    <col min="2" max="2" width="4.33203125" style="1" customWidth="1"/>
    <col min="3" max="3" width="11" style="1" customWidth="1"/>
    <col min="4" max="11" width="10.1640625" customWidth="1"/>
  </cols>
  <sheetData>
    <row r="2" spans="2:11" x14ac:dyDescent="0.2">
      <c r="B2" t="s">
        <v>14</v>
      </c>
      <c r="C2"/>
    </row>
    <row r="3" spans="2:11" ht="16" thickBot="1" x14ac:dyDescent="0.25"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46" t="s">
        <v>18</v>
      </c>
      <c r="D5" s="23">
        <v>1.34</v>
      </c>
      <c r="E5" s="41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2">
      <c r="B6" s="3">
        <v>2</v>
      </c>
      <c r="C6" s="47" t="s">
        <v>17</v>
      </c>
      <c r="D6" s="54">
        <v>1.77</v>
      </c>
      <c r="E6" s="42">
        <f>1/D6</f>
        <v>0.56497175141242939</v>
      </c>
      <c r="F6" s="6">
        <f>E6-0.2</f>
        <v>0.36497175141242938</v>
      </c>
      <c r="G6" s="55">
        <f>1/F6</f>
        <v>2.7399380804953561</v>
      </c>
      <c r="H6" s="54">
        <v>0</v>
      </c>
      <c r="I6" s="54" t="s">
        <v>11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2">
      <c r="B7" s="3">
        <v>3</v>
      </c>
      <c r="C7" s="47" t="s">
        <v>16</v>
      </c>
      <c r="D7" s="54">
        <v>1.91</v>
      </c>
      <c r="E7" s="42">
        <f t="shared" ref="E7:E12" si="2">1/D7</f>
        <v>0.52356020942408377</v>
      </c>
      <c r="F7" s="6">
        <f t="shared" ref="F7:F12" si="3">E7-0.2</f>
        <v>0.32356020942408376</v>
      </c>
      <c r="G7" s="55">
        <v>3.1</v>
      </c>
      <c r="H7" s="54">
        <v>0</v>
      </c>
      <c r="I7" s="54" t="s">
        <v>7</v>
      </c>
      <c r="J7" s="26">
        <f t="shared" si="0"/>
        <v>0</v>
      </c>
      <c r="K7" s="27">
        <f t="shared" si="1"/>
        <v>0</v>
      </c>
    </row>
    <row r="8" spans="2:11" x14ac:dyDescent="0.2">
      <c r="B8" s="3">
        <v>4</v>
      </c>
      <c r="C8" s="47" t="s">
        <v>15</v>
      </c>
      <c r="D8" s="54">
        <v>1.44</v>
      </c>
      <c r="E8" s="42">
        <f t="shared" si="2"/>
        <v>0.69444444444444442</v>
      </c>
      <c r="F8" s="6">
        <f t="shared" si="3"/>
        <v>0.49444444444444441</v>
      </c>
      <c r="G8" s="55">
        <f t="shared" ref="G8:G11" si="4">1/F8</f>
        <v>2.0224719101123596</v>
      </c>
      <c r="H8" s="54">
        <v>0</v>
      </c>
      <c r="I8" s="54" t="s">
        <v>7</v>
      </c>
      <c r="J8" s="26">
        <f t="shared" si="0"/>
        <v>0</v>
      </c>
      <c r="K8" s="27">
        <f t="shared" si="1"/>
        <v>0</v>
      </c>
    </row>
    <row r="9" spans="2:11" x14ac:dyDescent="0.2">
      <c r="B9" s="3">
        <v>5</v>
      </c>
      <c r="C9" s="47" t="s">
        <v>19</v>
      </c>
      <c r="D9" s="54">
        <v>1.19</v>
      </c>
      <c r="E9" s="42">
        <f t="shared" si="2"/>
        <v>0.84033613445378152</v>
      </c>
      <c r="F9" s="6">
        <f t="shared" si="3"/>
        <v>0.64033613445378146</v>
      </c>
      <c r="G9" s="55">
        <f t="shared" si="4"/>
        <v>1.5616797900262469</v>
      </c>
      <c r="H9" s="54">
        <v>0</v>
      </c>
      <c r="I9" s="54" t="s">
        <v>7</v>
      </c>
      <c r="J9" s="26">
        <f t="shared" si="0"/>
        <v>0</v>
      </c>
      <c r="K9" s="27">
        <f t="shared" si="1"/>
        <v>0</v>
      </c>
    </row>
    <row r="10" spans="2:11" x14ac:dyDescent="0.2">
      <c r="B10" s="3">
        <v>6</v>
      </c>
      <c r="C10" s="47" t="s">
        <v>20</v>
      </c>
      <c r="D10" s="54">
        <v>1.38</v>
      </c>
      <c r="E10" s="42">
        <f t="shared" si="2"/>
        <v>0.7246376811594204</v>
      </c>
      <c r="F10" s="6">
        <f t="shared" si="3"/>
        <v>0.52463768115942044</v>
      </c>
      <c r="G10" s="55">
        <f t="shared" si="4"/>
        <v>1.9060773480662978</v>
      </c>
      <c r="H10" s="54">
        <v>1</v>
      </c>
      <c r="I10" s="54" t="s">
        <v>11</v>
      </c>
      <c r="J10" s="26">
        <f t="shared" si="0"/>
        <v>-1</v>
      </c>
      <c r="K10" s="27">
        <f t="shared" si="1"/>
        <v>-55.55</v>
      </c>
    </row>
    <row r="11" spans="2:11" x14ac:dyDescent="0.2">
      <c r="B11" s="3">
        <v>7</v>
      </c>
      <c r="C11" s="47" t="s">
        <v>21</v>
      </c>
      <c r="D11" s="54">
        <v>1.02</v>
      </c>
      <c r="E11" s="42">
        <f t="shared" si="2"/>
        <v>0.98039215686274506</v>
      </c>
      <c r="F11" s="6">
        <f t="shared" si="3"/>
        <v>0.78039215686274499</v>
      </c>
      <c r="G11" s="55">
        <f t="shared" si="4"/>
        <v>1.2814070351758795</v>
      </c>
      <c r="H11" s="54">
        <v>0</v>
      </c>
      <c r="I11" s="54" t="s">
        <v>7</v>
      </c>
      <c r="J11" s="26">
        <f t="shared" si="0"/>
        <v>0</v>
      </c>
      <c r="K11" s="27">
        <f t="shared" si="1"/>
        <v>0</v>
      </c>
    </row>
    <row r="12" spans="2:11" ht="16" thickBot="1" x14ac:dyDescent="0.25">
      <c r="B12" s="4">
        <v>8</v>
      </c>
      <c r="C12" s="48" t="s">
        <v>22</v>
      </c>
      <c r="D12" s="9">
        <v>1.74</v>
      </c>
      <c r="E12" s="43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2">
      <c r="B13" s="44">
        <v>9</v>
      </c>
      <c r="C13" s="44" t="s">
        <v>34</v>
      </c>
      <c r="D13" s="5">
        <v>1.2</v>
      </c>
      <c r="E13" s="42">
        <f t="shared" ref="E13:E21" si="5">1/D13</f>
        <v>0.83333333333333337</v>
      </c>
      <c r="F13" s="6">
        <f t="shared" ref="F13:F21" si="6">E13-0.2</f>
        <v>0.6333333333333333</v>
      </c>
      <c r="G13" s="49">
        <f t="shared" ref="G13:G21" si="7">1/F13</f>
        <v>1.5789473684210527</v>
      </c>
      <c r="H13" s="54">
        <v>0</v>
      </c>
      <c r="I13" s="54" t="s">
        <v>7</v>
      </c>
      <c r="J13" s="26">
        <f>IF(H13=0,0,IF(I13="WON",(G13-1)*0.95,-1))</f>
        <v>0</v>
      </c>
      <c r="K13" s="27">
        <f t="shared" ref="K13:K21" si="8">J13*J$3</f>
        <v>0</v>
      </c>
    </row>
    <row r="14" spans="2:11" x14ac:dyDescent="0.2">
      <c r="B14" s="44">
        <v>10</v>
      </c>
      <c r="C14" s="44" t="s">
        <v>16</v>
      </c>
      <c r="D14" s="5">
        <v>1.52</v>
      </c>
      <c r="E14" s="42">
        <f t="shared" si="5"/>
        <v>0.65789473684210531</v>
      </c>
      <c r="F14" s="6">
        <f t="shared" si="6"/>
        <v>0.4578947368421053</v>
      </c>
      <c r="G14" s="49">
        <f t="shared" si="7"/>
        <v>2.1839080459770113</v>
      </c>
      <c r="H14" s="54">
        <v>1</v>
      </c>
      <c r="I14" s="54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2">
      <c r="B15" s="44">
        <v>11</v>
      </c>
      <c r="C15" s="44" t="s">
        <v>18</v>
      </c>
      <c r="D15" s="5">
        <v>1.1499999999999999</v>
      </c>
      <c r="E15" s="42">
        <f t="shared" si="5"/>
        <v>0.86956521739130443</v>
      </c>
      <c r="F15" s="6">
        <f t="shared" si="6"/>
        <v>0.66956521739130448</v>
      </c>
      <c r="G15" s="49">
        <f t="shared" si="7"/>
        <v>1.4935064935064932</v>
      </c>
      <c r="H15" s="54">
        <v>1</v>
      </c>
      <c r="I15" s="54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2">
      <c r="B16" s="44">
        <v>12</v>
      </c>
      <c r="C16" s="44" t="s">
        <v>35</v>
      </c>
      <c r="D16" s="5">
        <v>1.27</v>
      </c>
      <c r="E16" s="42">
        <f t="shared" si="5"/>
        <v>0.78740157480314954</v>
      </c>
      <c r="F16" s="6">
        <f t="shared" si="6"/>
        <v>0.58740157480314958</v>
      </c>
      <c r="G16" s="49">
        <f t="shared" si="7"/>
        <v>1.7024128686327078</v>
      </c>
      <c r="H16" s="54">
        <v>0</v>
      </c>
      <c r="I16" s="54" t="s">
        <v>7</v>
      </c>
      <c r="J16" s="26">
        <f t="shared" si="9"/>
        <v>0</v>
      </c>
      <c r="K16" s="27">
        <f t="shared" si="8"/>
        <v>0</v>
      </c>
    </row>
    <row r="17" spans="2:11" x14ac:dyDescent="0.2">
      <c r="B17" s="44">
        <v>13</v>
      </c>
      <c r="C17" s="44" t="s">
        <v>19</v>
      </c>
      <c r="D17" s="5">
        <v>1.77</v>
      </c>
      <c r="E17" s="42">
        <f t="shared" si="5"/>
        <v>0.56497175141242939</v>
      </c>
      <c r="F17" s="6">
        <f t="shared" si="6"/>
        <v>0.36497175141242938</v>
      </c>
      <c r="G17" s="49">
        <f t="shared" si="7"/>
        <v>2.7399380804953561</v>
      </c>
      <c r="H17" s="51">
        <v>0</v>
      </c>
      <c r="I17" s="51"/>
      <c r="J17" s="26">
        <f t="shared" si="9"/>
        <v>0</v>
      </c>
      <c r="K17" s="27">
        <f t="shared" si="8"/>
        <v>0</v>
      </c>
    </row>
    <row r="18" spans="2:11" x14ac:dyDescent="0.2">
      <c r="B18" s="44">
        <v>14</v>
      </c>
      <c r="C18" s="44" t="s">
        <v>22</v>
      </c>
      <c r="D18" s="5">
        <v>1.72</v>
      </c>
      <c r="E18" s="42">
        <f t="shared" si="5"/>
        <v>0.58139534883720934</v>
      </c>
      <c r="F18" s="6">
        <f t="shared" si="6"/>
        <v>0.38139534883720932</v>
      </c>
      <c r="G18" s="49">
        <f t="shared" si="7"/>
        <v>2.6219512195121948</v>
      </c>
      <c r="H18" s="51">
        <v>0</v>
      </c>
      <c r="I18" s="51"/>
      <c r="J18" s="26">
        <f t="shared" si="9"/>
        <v>0</v>
      </c>
      <c r="K18" s="27">
        <f t="shared" si="8"/>
        <v>0</v>
      </c>
    </row>
    <row r="19" spans="2:11" x14ac:dyDescent="0.2">
      <c r="B19" s="44">
        <v>15</v>
      </c>
      <c r="C19" s="44" t="s">
        <v>36</v>
      </c>
      <c r="D19" s="5">
        <v>1.0900000000000001</v>
      </c>
      <c r="E19" s="42">
        <f t="shared" si="5"/>
        <v>0.9174311926605504</v>
      </c>
      <c r="F19" s="6">
        <f t="shared" si="6"/>
        <v>0.71743119266055033</v>
      </c>
      <c r="G19" s="49">
        <f t="shared" si="7"/>
        <v>1.3938618925831205</v>
      </c>
      <c r="H19" s="51"/>
      <c r="I19" s="51"/>
      <c r="J19" s="26">
        <f t="shared" si="9"/>
        <v>0</v>
      </c>
      <c r="K19" s="27">
        <f t="shared" si="8"/>
        <v>0</v>
      </c>
    </row>
    <row r="20" spans="2:11" x14ac:dyDescent="0.2">
      <c r="B20" s="44">
        <v>16</v>
      </c>
      <c r="C20" s="44" t="s">
        <v>37</v>
      </c>
      <c r="D20" s="5">
        <v>1.1200000000000001</v>
      </c>
      <c r="E20" s="42">
        <f t="shared" si="5"/>
        <v>0.89285714285714279</v>
      </c>
      <c r="F20" s="6">
        <f t="shared" si="6"/>
        <v>0.69285714285714284</v>
      </c>
      <c r="G20" s="49">
        <f t="shared" si="7"/>
        <v>1.4432989690721649</v>
      </c>
      <c r="H20" s="51"/>
      <c r="I20" s="51"/>
      <c r="J20" s="26">
        <f t="shared" si="9"/>
        <v>0</v>
      </c>
      <c r="K20" s="27">
        <f t="shared" si="8"/>
        <v>0</v>
      </c>
    </row>
    <row r="21" spans="2:11" ht="16" thickBot="1" x14ac:dyDescent="0.25">
      <c r="B21" s="45">
        <v>17</v>
      </c>
      <c r="C21" s="45" t="s">
        <v>38</v>
      </c>
      <c r="D21" s="11">
        <v>1.76</v>
      </c>
      <c r="E21" s="43">
        <f t="shared" si="5"/>
        <v>0.56818181818181823</v>
      </c>
      <c r="F21" s="10">
        <f t="shared" si="6"/>
        <v>0.36818181818181822</v>
      </c>
      <c r="G21" s="50">
        <f t="shared" si="7"/>
        <v>2.716049382716049</v>
      </c>
      <c r="H21" s="52"/>
      <c r="I21" s="52"/>
      <c r="J21" s="26">
        <f t="shared" si="9"/>
        <v>0</v>
      </c>
      <c r="K21" s="27">
        <f t="shared" si="8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10"/>
  <sheetViews>
    <sheetView topLeftCell="A2" zoomScale="165" workbookViewId="0">
      <selection activeCell="I11" sqref="I11"/>
    </sheetView>
  </sheetViews>
  <sheetFormatPr baseColWidth="10" defaultColWidth="8.83203125" defaultRowHeight="15" x14ac:dyDescent="0.2"/>
  <cols>
    <col min="3" max="3" width="14.33203125" bestFit="1" customWidth="1"/>
    <col min="9" max="9" width="12" bestFit="1" customWidth="1"/>
  </cols>
  <sheetData>
    <row r="2" spans="2:12" x14ac:dyDescent="0.2">
      <c r="B2" t="s">
        <v>46</v>
      </c>
    </row>
    <row r="3" spans="2:12" ht="16" thickBot="1" x14ac:dyDescent="0.25">
      <c r="B3" s="1"/>
      <c r="C3" s="1"/>
      <c r="D3" t="s">
        <v>40</v>
      </c>
      <c r="I3" s="7" t="s">
        <v>9</v>
      </c>
      <c r="J3" s="8">
        <v>55.55</v>
      </c>
      <c r="K3" s="8"/>
    </row>
    <row r="4" spans="2:12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2" ht="16" thickBot="1" x14ac:dyDescent="0.25">
      <c r="B5" s="2">
        <v>1</v>
      </c>
      <c r="C5" s="30" t="s">
        <v>39</v>
      </c>
      <c r="D5" s="31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30">
        <v>1</v>
      </c>
      <c r="I5" s="31" t="s">
        <v>7</v>
      </c>
      <c r="J5" s="15">
        <f>IF(H5=0,0,IF(I5="WON",(G5-1),-1))</f>
        <v>1.7639751552795029</v>
      </c>
      <c r="K5" s="25">
        <f>J5*J$3*0.94-0.21</f>
        <v>91.8994906832298</v>
      </c>
      <c r="L5" s="53"/>
    </row>
    <row r="6" spans="2:12" ht="16" thickBot="1" x14ac:dyDescent="0.25">
      <c r="B6" s="2">
        <v>2</v>
      </c>
      <c r="C6" s="30" t="s">
        <v>41</v>
      </c>
      <c r="D6" s="31">
        <v>1.56</v>
      </c>
      <c r="E6" s="20">
        <f>1/D6</f>
        <v>0.64102564102564097</v>
      </c>
      <c r="F6" s="21">
        <f>E6-0.2</f>
        <v>0.44102564102564096</v>
      </c>
      <c r="G6" s="22">
        <v>2.2799999999999998</v>
      </c>
      <c r="H6" s="30">
        <v>1</v>
      </c>
      <c r="I6" s="31" t="s">
        <v>11</v>
      </c>
      <c r="J6" s="15">
        <f>IF(H6=0,0,IF(I6="WON",(G6-1),-1))</f>
        <v>-1</v>
      </c>
      <c r="K6" s="25">
        <f>J6*J$3</f>
        <v>-55.55</v>
      </c>
      <c r="L6" s="53"/>
    </row>
    <row r="7" spans="2:12" ht="16" thickBot="1" x14ac:dyDescent="0.25">
      <c r="B7" s="2">
        <v>3</v>
      </c>
      <c r="C7" s="56" t="s">
        <v>42</v>
      </c>
      <c r="D7" s="31">
        <v>1.1100000000000001</v>
      </c>
      <c r="E7" s="20">
        <f t="shared" ref="E7:E10" si="0">1/D7</f>
        <v>0.9009009009009008</v>
      </c>
      <c r="F7" s="21">
        <f t="shared" ref="F7:F10" si="1">E7-0.2</f>
        <v>0.70090090090090085</v>
      </c>
      <c r="G7" s="22">
        <f t="shared" ref="G7:G8" si="2">1/F7</f>
        <v>1.4267352185089976</v>
      </c>
      <c r="H7" s="30">
        <v>0</v>
      </c>
      <c r="I7" s="31" t="s">
        <v>7</v>
      </c>
      <c r="J7" s="15">
        <f t="shared" ref="J7:J8" si="3">IF(H7=0,0,IF(I7="WON",(G7-1),-1))</f>
        <v>0</v>
      </c>
      <c r="K7" s="25">
        <f t="shared" ref="K7:K10" si="4">J7*J$3</f>
        <v>0</v>
      </c>
    </row>
    <row r="8" spans="2:12" ht="16" thickBot="1" x14ac:dyDescent="0.25">
      <c r="B8" s="2">
        <v>4</v>
      </c>
      <c r="C8" s="56" t="s">
        <v>43</v>
      </c>
      <c r="D8" s="31">
        <v>1.42</v>
      </c>
      <c r="E8" s="20">
        <f t="shared" si="0"/>
        <v>0.70422535211267612</v>
      </c>
      <c r="F8" s="21">
        <f t="shared" si="1"/>
        <v>0.50422535211267605</v>
      </c>
      <c r="G8" s="22">
        <f t="shared" si="2"/>
        <v>1.9832402234636872</v>
      </c>
      <c r="H8" s="30">
        <v>0</v>
      </c>
      <c r="I8" s="31" t="s">
        <v>7</v>
      </c>
      <c r="J8" s="15">
        <f t="shared" si="3"/>
        <v>0</v>
      </c>
      <c r="K8" s="25">
        <f t="shared" si="4"/>
        <v>0</v>
      </c>
    </row>
    <row r="9" spans="2:12" ht="16" thickBot="1" x14ac:dyDescent="0.25">
      <c r="B9" s="2">
        <v>5</v>
      </c>
      <c r="C9" s="56" t="s">
        <v>44</v>
      </c>
      <c r="D9" s="31">
        <v>1.33</v>
      </c>
      <c r="E9" s="20">
        <f t="shared" si="0"/>
        <v>0.75187969924812026</v>
      </c>
      <c r="F9" s="21">
        <f t="shared" si="1"/>
        <v>0.5518796992481203</v>
      </c>
      <c r="G9" s="22">
        <f t="shared" ref="G9:G10" si="5">1/F9</f>
        <v>1.8119891008174387</v>
      </c>
      <c r="H9" s="30">
        <v>0</v>
      </c>
      <c r="I9" s="31" t="s">
        <v>11</v>
      </c>
      <c r="J9" s="15">
        <f t="shared" ref="J9:J10" si="6">IF(H9=0,0,IF(I9="WON",(G9-1),-1))</f>
        <v>0</v>
      </c>
      <c r="K9" s="25">
        <f t="shared" si="4"/>
        <v>0</v>
      </c>
    </row>
    <row r="10" spans="2:12" x14ac:dyDescent="0.2">
      <c r="B10" s="2">
        <v>6</v>
      </c>
      <c r="C10" s="56" t="s">
        <v>45</v>
      </c>
      <c r="D10" s="31">
        <v>1.33</v>
      </c>
      <c r="E10" s="20">
        <f t="shared" si="0"/>
        <v>0.75187969924812026</v>
      </c>
      <c r="F10" s="21">
        <f t="shared" si="1"/>
        <v>0.5518796992481203</v>
      </c>
      <c r="G10" s="22">
        <f t="shared" si="5"/>
        <v>1.8119891008174387</v>
      </c>
      <c r="H10" s="30">
        <v>0</v>
      </c>
      <c r="I10" s="31" t="s">
        <v>7</v>
      </c>
      <c r="J10" s="15">
        <f t="shared" si="6"/>
        <v>0</v>
      </c>
      <c r="K10" s="25">
        <f t="shared" si="4"/>
        <v>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120F-3D79-45D2-9E7F-690D79FF71F4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cols>
    <col min="3" max="3" width="13.6640625" bestFit="1" customWidth="1"/>
  </cols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DAF7-1BB4-48D6-89E7-0AED41AA649D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0578-228A-4ECA-BD97-9526260EC85E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M15"/>
  <sheetViews>
    <sheetView zoomScale="147" workbookViewId="0">
      <selection activeCell="J10" sqref="J10"/>
    </sheetView>
  </sheetViews>
  <sheetFormatPr baseColWidth="10" defaultColWidth="8.83203125" defaultRowHeight="15" x14ac:dyDescent="0.2"/>
  <cols>
    <col min="2" max="13" width="10.6640625" customWidth="1"/>
  </cols>
  <sheetData>
    <row r="2" spans="2:13" x14ac:dyDescent="0.2">
      <c r="B2" t="s">
        <v>33</v>
      </c>
    </row>
    <row r="3" spans="2:13" ht="16" thickBot="1" x14ac:dyDescent="0.25">
      <c r="B3" s="1"/>
      <c r="C3" s="1"/>
      <c r="D3" s="1"/>
      <c r="J3" s="32" t="s">
        <v>30</v>
      </c>
      <c r="K3" s="7"/>
      <c r="L3" s="39"/>
      <c r="M3" s="39"/>
    </row>
    <row r="4" spans="2:13" ht="16" thickBot="1" x14ac:dyDescent="0.25">
      <c r="B4" s="13" t="s">
        <v>0</v>
      </c>
      <c r="C4" s="13" t="s">
        <v>25</v>
      </c>
      <c r="D4" s="33" t="s">
        <v>26</v>
      </c>
      <c r="E4" s="13" t="s">
        <v>27</v>
      </c>
      <c r="F4" s="34" t="s">
        <v>28</v>
      </c>
      <c r="G4" s="17" t="s">
        <v>31</v>
      </c>
      <c r="H4" s="13" t="s">
        <v>29</v>
      </c>
      <c r="I4" s="13" t="s">
        <v>32</v>
      </c>
      <c r="J4" s="14" t="s">
        <v>24</v>
      </c>
      <c r="K4" s="14" t="s">
        <v>12</v>
      </c>
    </row>
    <row r="5" spans="2:13" ht="16" thickBot="1" x14ac:dyDescent="0.25">
      <c r="B5" s="2">
        <v>1</v>
      </c>
      <c r="C5" s="35">
        <v>555</v>
      </c>
      <c r="D5" s="35">
        <v>570</v>
      </c>
      <c r="E5" s="35">
        <v>630</v>
      </c>
      <c r="F5" s="35">
        <v>645</v>
      </c>
      <c r="G5" s="36">
        <v>0.96</v>
      </c>
      <c r="H5" s="37">
        <v>571</v>
      </c>
      <c r="I5" s="36">
        <f t="shared" ref="I5:I15" si="0">IF(AND(H5&lt;=E5,H5&gt;=D5),0,IF(H5&lt;D5,MAX(H5-D5,C5-D5),MAX(E5-H5,E5-F5)))</f>
        <v>0</v>
      </c>
      <c r="J5" s="40">
        <v>0.3</v>
      </c>
      <c r="K5" s="38">
        <f t="shared" ref="K5:K15" si="1">(G5+I5)*100-J5</f>
        <v>95.7</v>
      </c>
    </row>
    <row r="6" spans="2:13" ht="16" thickBot="1" x14ac:dyDescent="0.25">
      <c r="B6" s="2">
        <v>2</v>
      </c>
      <c r="C6" s="35">
        <v>555</v>
      </c>
      <c r="D6" s="35">
        <v>570</v>
      </c>
      <c r="E6" s="35">
        <v>630</v>
      </c>
      <c r="F6" s="35">
        <v>645</v>
      </c>
      <c r="G6" s="36">
        <v>0.96</v>
      </c>
      <c r="H6" s="37">
        <v>572</v>
      </c>
      <c r="I6" s="36">
        <f t="shared" si="0"/>
        <v>0</v>
      </c>
      <c r="J6" s="40">
        <v>0.3</v>
      </c>
      <c r="K6" s="38">
        <f t="shared" si="1"/>
        <v>95.7</v>
      </c>
    </row>
    <row r="7" spans="2:13" ht="16" thickBot="1" x14ac:dyDescent="0.25">
      <c r="B7" s="2">
        <v>3</v>
      </c>
      <c r="C7" s="35">
        <v>555</v>
      </c>
      <c r="D7" s="35">
        <v>570</v>
      </c>
      <c r="E7" s="35">
        <v>630</v>
      </c>
      <c r="F7" s="35">
        <v>645</v>
      </c>
      <c r="G7" s="36">
        <v>0.96</v>
      </c>
      <c r="H7" s="37">
        <v>573</v>
      </c>
      <c r="I7" s="36">
        <f t="shared" si="0"/>
        <v>0</v>
      </c>
      <c r="J7" s="40">
        <v>0.3</v>
      </c>
      <c r="K7" s="38">
        <f t="shared" si="1"/>
        <v>95.7</v>
      </c>
    </row>
    <row r="8" spans="2:13" ht="16" thickBot="1" x14ac:dyDescent="0.25">
      <c r="B8" s="2">
        <v>4</v>
      </c>
      <c r="C8" s="35">
        <v>555</v>
      </c>
      <c r="D8" s="35">
        <v>570</v>
      </c>
      <c r="E8" s="35">
        <v>630</v>
      </c>
      <c r="F8" s="35">
        <v>645</v>
      </c>
      <c r="G8" s="36">
        <v>0.96</v>
      </c>
      <c r="H8" s="37">
        <v>574</v>
      </c>
      <c r="I8" s="36">
        <f t="shared" si="0"/>
        <v>0</v>
      </c>
      <c r="J8" s="40">
        <v>0.3</v>
      </c>
      <c r="K8" s="38">
        <f t="shared" si="1"/>
        <v>95.7</v>
      </c>
    </row>
    <row r="9" spans="2:13" ht="16" thickBot="1" x14ac:dyDescent="0.25">
      <c r="B9" s="2">
        <v>5</v>
      </c>
      <c r="C9" s="35">
        <v>555</v>
      </c>
      <c r="D9" s="35">
        <v>570</v>
      </c>
      <c r="E9" s="35">
        <v>630</v>
      </c>
      <c r="F9" s="35">
        <v>645</v>
      </c>
      <c r="G9" s="36">
        <v>0.96</v>
      </c>
      <c r="H9" s="37">
        <v>545</v>
      </c>
      <c r="I9" s="36">
        <f t="shared" si="0"/>
        <v>-15</v>
      </c>
      <c r="J9" s="40">
        <v>0.3</v>
      </c>
      <c r="K9" s="38">
        <f t="shared" si="1"/>
        <v>-1404.3</v>
      </c>
    </row>
    <row r="10" spans="2:13" ht="16" thickBot="1" x14ac:dyDescent="0.25">
      <c r="B10" s="2">
        <v>6</v>
      </c>
      <c r="C10" s="35">
        <v>555</v>
      </c>
      <c r="D10" s="35">
        <v>570</v>
      </c>
      <c r="E10" s="35">
        <v>630</v>
      </c>
      <c r="F10" s="35">
        <v>645</v>
      </c>
      <c r="G10" s="36">
        <v>0.96</v>
      </c>
      <c r="H10" s="37">
        <v>576</v>
      </c>
      <c r="I10" s="36">
        <f t="shared" si="0"/>
        <v>0</v>
      </c>
      <c r="J10" s="40">
        <v>0.3</v>
      </c>
      <c r="K10" s="38">
        <f t="shared" si="1"/>
        <v>95.7</v>
      </c>
    </row>
    <row r="11" spans="2:13" ht="16" thickBot="1" x14ac:dyDescent="0.25">
      <c r="B11" s="2">
        <v>7</v>
      </c>
      <c r="C11" s="35">
        <v>555</v>
      </c>
      <c r="D11" s="35">
        <v>570</v>
      </c>
      <c r="E11" s="35">
        <v>630</v>
      </c>
      <c r="F11" s="35">
        <v>645</v>
      </c>
      <c r="G11" s="36">
        <v>0.96</v>
      </c>
      <c r="H11" s="37">
        <v>577</v>
      </c>
      <c r="I11" s="36">
        <f t="shared" si="0"/>
        <v>0</v>
      </c>
      <c r="J11" s="40">
        <v>0.3</v>
      </c>
      <c r="K11" s="38">
        <f t="shared" si="1"/>
        <v>95.7</v>
      </c>
    </row>
    <row r="12" spans="2:13" ht="16" thickBot="1" x14ac:dyDescent="0.25">
      <c r="B12" s="2">
        <v>8</v>
      </c>
      <c r="C12" s="35">
        <v>555</v>
      </c>
      <c r="D12" s="35">
        <v>570</v>
      </c>
      <c r="E12" s="35">
        <v>630</v>
      </c>
      <c r="F12" s="35">
        <v>645</v>
      </c>
      <c r="G12" s="36">
        <v>0.96</v>
      </c>
      <c r="H12" s="37">
        <v>578</v>
      </c>
      <c r="I12" s="36">
        <f t="shared" si="0"/>
        <v>0</v>
      </c>
      <c r="J12" s="40">
        <v>0.3</v>
      </c>
      <c r="K12" s="38">
        <f t="shared" si="1"/>
        <v>95.7</v>
      </c>
    </row>
    <row r="13" spans="2:13" ht="16" thickBot="1" x14ac:dyDescent="0.25">
      <c r="B13" s="2">
        <v>9</v>
      </c>
      <c r="C13" s="35">
        <v>555</v>
      </c>
      <c r="D13" s="35">
        <v>570</v>
      </c>
      <c r="E13" s="35">
        <v>630</v>
      </c>
      <c r="F13" s="35">
        <v>645</v>
      </c>
      <c r="G13" s="36">
        <v>0.96</v>
      </c>
      <c r="H13" s="37">
        <v>579</v>
      </c>
      <c r="I13" s="36">
        <f t="shared" si="0"/>
        <v>0</v>
      </c>
      <c r="J13" s="40">
        <v>0.3</v>
      </c>
      <c r="K13" s="38">
        <f t="shared" si="1"/>
        <v>95.7</v>
      </c>
    </row>
    <row r="14" spans="2:13" ht="16" thickBot="1" x14ac:dyDescent="0.25">
      <c r="B14" s="2">
        <v>10</v>
      </c>
      <c r="C14" s="35">
        <v>555</v>
      </c>
      <c r="D14" s="35">
        <v>570</v>
      </c>
      <c r="E14" s="35">
        <v>630</v>
      </c>
      <c r="F14" s="35">
        <v>645</v>
      </c>
      <c r="G14" s="36">
        <v>0.96</v>
      </c>
      <c r="H14" s="37">
        <v>580</v>
      </c>
      <c r="I14" s="36">
        <f t="shared" si="0"/>
        <v>0</v>
      </c>
      <c r="J14" s="40">
        <v>0.3</v>
      </c>
      <c r="K14" s="38">
        <f t="shared" si="1"/>
        <v>95.7</v>
      </c>
    </row>
    <row r="15" spans="2:13" x14ac:dyDescent="0.2">
      <c r="B15" s="2">
        <v>11</v>
      </c>
      <c r="C15" s="35">
        <v>555</v>
      </c>
      <c r="D15" s="35">
        <v>570</v>
      </c>
      <c r="E15" s="35">
        <v>630</v>
      </c>
      <c r="F15" s="35">
        <v>645</v>
      </c>
      <c r="G15" s="36">
        <v>0.96</v>
      </c>
      <c r="H15" s="37">
        <v>581</v>
      </c>
      <c r="I15" s="36">
        <f t="shared" si="0"/>
        <v>0</v>
      </c>
      <c r="J15" s="40">
        <v>0.3</v>
      </c>
      <c r="K15" s="38">
        <f t="shared" si="1"/>
        <v>95.7</v>
      </c>
    </row>
  </sheetData>
  <conditionalFormatting sqref="K5:K112">
    <cfRule type="cellIs" dxfId="1" priority="2" operator="lessThan">
      <formula>0</formula>
    </cfRule>
  </conditionalFormatting>
  <conditionalFormatting sqref="K5:K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AFL</vt:lpstr>
      <vt:lpstr>Tennis</vt:lpstr>
      <vt:lpstr>Cricket</vt:lpstr>
      <vt:lpstr>Basketball</vt:lpstr>
      <vt:lpstr>NFL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2026-04-11T04:21:46Z</dcterms:modified>
</cp:coreProperties>
</file>