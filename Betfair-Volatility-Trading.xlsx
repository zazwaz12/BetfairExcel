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9B18B7B1-6B6E-4849-B56C-7634ED29BF26}" xr6:coauthVersionLast="47" xr6:coauthVersionMax="47" xr10:uidLastSave="{00000000-0000-0000-0000-000000000000}"/>
  <bookViews>
    <workbookView xWindow="0" yWindow="500" windowWidth="38400" windowHeight="19400" activeTab="2" xr2:uid="{C475443F-0BD3-43A3-A939-51219F6DA813}"/>
  </bookViews>
  <sheets>
    <sheet name="AFL" sheetId="1" r:id="rId1"/>
    <sheet name="Tennis" sheetId="2" r:id="rId2"/>
    <sheet name="Option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K48" i="1" s="1"/>
  <c r="J49" i="1"/>
  <c r="K49" i="1"/>
  <c r="J50" i="1"/>
  <c r="K50" i="1" s="1"/>
  <c r="J51" i="1"/>
  <c r="K51" i="1"/>
  <c r="J52" i="1"/>
  <c r="K52" i="1" s="1"/>
  <c r="J53" i="1"/>
  <c r="K53" i="1"/>
  <c r="J54" i="1"/>
  <c r="K54" i="1"/>
  <c r="J55" i="1"/>
  <c r="K55" i="1" s="1"/>
  <c r="J56" i="1"/>
  <c r="K56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E30" i="1"/>
  <c r="F30" i="1"/>
  <c r="E29" i="1"/>
  <c r="F29" i="1"/>
  <c r="E28" i="1"/>
  <c r="F28" i="1" s="1"/>
  <c r="G28" i="1" s="1"/>
  <c r="E27" i="1"/>
  <c r="F27" i="1" s="1"/>
  <c r="G27" i="1" s="1"/>
  <c r="J27" i="1" s="1"/>
  <c r="E26" i="1"/>
  <c r="F26" i="1" s="1"/>
  <c r="E25" i="1"/>
  <c r="F25" i="1" s="1"/>
  <c r="G25" i="1" s="1"/>
  <c r="J25" i="1" s="1"/>
  <c r="K25" i="1" s="1"/>
  <c r="E24" i="1"/>
  <c r="F24" i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<sst xmlns="http://schemas.openxmlformats.org/spreadsheetml/2006/main" count="154" uniqueCount="51">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</sst>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56"/>
  <sheetViews>
    <sheetView zoomScale="136" workbookViewId="0">
      <pane ySplit="4" topLeftCell="A37" activePane="bottomLeft" state="frozen"/>
      <selection pane="bottomLeft" activeCell="M57" sqref="M57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13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2">
      <c r="B5" s="2">
        <v>1</v>
      </c>
      <c r="C5" s="46" t="s">
        <v>17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16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15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14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18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19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10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20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21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32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15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17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33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10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18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21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34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35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36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46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34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18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19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21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32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47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17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10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15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18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2">
      <c r="B32" s="44">
        <v>28</v>
      </c>
      <c r="C32" s="66" t="s">
        <v>33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2">
      <c r="B33" s="44">
        <v>29</v>
      </c>
      <c r="C33" s="66" t="s">
        <v>21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2">
      <c r="B34" s="44">
        <v>30</v>
      </c>
      <c r="C34" s="66" t="s">
        <v>46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2">
      <c r="B35" s="44">
        <v>31</v>
      </c>
      <c r="C35" s="66" t="s">
        <v>34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10</v>
      </c>
      <c r="J35" s="26">
        <f t="shared" si="14"/>
        <v>-1</v>
      </c>
      <c r="K35" s="27">
        <f t="shared" si="15"/>
        <v>-55.55</v>
      </c>
    </row>
    <row r="36" spans="2:11" x14ac:dyDescent="0.2">
      <c r="B36" s="44">
        <v>32</v>
      </c>
      <c r="C36" s="66" t="s">
        <v>15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2">
      <c r="B37" s="44">
        <v>33</v>
      </c>
      <c r="C37" s="66" t="s">
        <v>36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2">
      <c r="B38" s="44">
        <v>34</v>
      </c>
      <c r="C38" s="66" t="s">
        <v>17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6" thickBot="1" x14ac:dyDescent="0.25">
      <c r="B39" s="44">
        <v>35</v>
      </c>
      <c r="C39" s="67" t="s">
        <v>48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6" thickBot="1" x14ac:dyDescent="0.25">
      <c r="B40" s="46">
        <v>36</v>
      </c>
      <c r="C40" s="64" t="s">
        <v>21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49</v>
      </c>
      <c r="J40" s="28">
        <v>-0.14000000000000001</v>
      </c>
      <c r="K40" s="27">
        <f t="shared" si="15"/>
        <v>-7.7770000000000001</v>
      </c>
    </row>
    <row r="41" spans="2:11" ht="16" thickBot="1" x14ac:dyDescent="0.25">
      <c r="B41" s="47">
        <v>37</v>
      </c>
      <c r="C41" s="64" t="s">
        <v>15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6" thickBot="1" x14ac:dyDescent="0.25">
      <c r="B42" s="47">
        <v>38</v>
      </c>
      <c r="C42" s="64" t="s">
        <v>32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2">
      <c r="B43" s="47">
        <v>39</v>
      </c>
      <c r="C43" s="64" t="s">
        <v>17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2">
      <c r="B44" s="47">
        <v>40</v>
      </c>
      <c r="C44" s="64" t="s">
        <v>34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2">
      <c r="B45" s="47">
        <v>41</v>
      </c>
      <c r="C45" s="64" t="s">
        <v>36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2">
      <c r="B46" s="47">
        <v>42</v>
      </c>
      <c r="C46" s="64" t="s">
        <v>18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6" thickBot="1" x14ac:dyDescent="0.25">
      <c r="B47" s="47">
        <v>43</v>
      </c>
      <c r="C47" s="64" t="s">
        <v>19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  <row r="48" spans="2:11" x14ac:dyDescent="0.2">
      <c r="B48" s="65">
        <v>44</v>
      </c>
      <c r="C48" s="57" t="s">
        <v>15</v>
      </c>
      <c r="D48" s="23">
        <v>1.76</v>
      </c>
      <c r="E48" s="41">
        <f t="shared" ref="E48:E56" si="17">1/D48</f>
        <v>0.56818181818181823</v>
      </c>
      <c r="F48" s="60">
        <f t="shared" ref="F48:F56" si="18">E48-0.2</f>
        <v>0.36818181818181822</v>
      </c>
      <c r="G48" s="68">
        <f t="shared" ref="G48:G56" si="19">1/F48</f>
        <v>2.716049382716049</v>
      </c>
      <c r="H48" s="77">
        <v>1</v>
      </c>
      <c r="I48" s="77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2">
      <c r="B49" s="66">
        <v>45</v>
      </c>
      <c r="C49" s="44" t="s">
        <v>17</v>
      </c>
      <c r="D49" s="52">
        <v>1.1000000000000001</v>
      </c>
      <c r="E49" s="42">
        <f t="shared" si="17"/>
        <v>0.90909090909090906</v>
      </c>
      <c r="F49" s="56">
        <f t="shared" si="18"/>
        <v>0.70909090909090899</v>
      </c>
      <c r="G49" s="69">
        <f t="shared" si="19"/>
        <v>1.4102564102564104</v>
      </c>
      <c r="H49" s="73">
        <v>0</v>
      </c>
      <c r="I49" s="73" t="s">
        <v>7</v>
      </c>
      <c r="J49" s="26">
        <f t="shared" si="20"/>
        <v>0</v>
      </c>
      <c r="K49" s="27">
        <f t="shared" si="21"/>
        <v>0</v>
      </c>
    </row>
    <row r="50" spans="2:11" x14ac:dyDescent="0.2">
      <c r="B50" s="66">
        <v>46</v>
      </c>
      <c r="C50" s="44" t="s">
        <v>14</v>
      </c>
      <c r="D50" s="52">
        <v>1.93</v>
      </c>
      <c r="E50" s="42">
        <f t="shared" si="17"/>
        <v>0.5181347150259068</v>
      </c>
      <c r="F50" s="56">
        <f t="shared" si="18"/>
        <v>0.31813471502590679</v>
      </c>
      <c r="G50" s="69">
        <v>3.15</v>
      </c>
      <c r="H50" s="73">
        <v>1</v>
      </c>
      <c r="I50" s="73" t="s">
        <v>10</v>
      </c>
      <c r="J50" s="26">
        <f t="shared" si="20"/>
        <v>-1</v>
      </c>
      <c r="K50" s="27">
        <f t="shared" si="21"/>
        <v>-55.55</v>
      </c>
    </row>
    <row r="51" spans="2:11" x14ac:dyDescent="0.2">
      <c r="B51" s="66">
        <v>47</v>
      </c>
      <c r="C51" s="44" t="s">
        <v>18</v>
      </c>
      <c r="D51" s="52">
        <v>1.41</v>
      </c>
      <c r="E51" s="42">
        <f t="shared" si="17"/>
        <v>0.70921985815602839</v>
      </c>
      <c r="F51" s="56">
        <f t="shared" si="18"/>
        <v>0.50921985815602833</v>
      </c>
      <c r="G51" s="69">
        <f t="shared" si="19"/>
        <v>1.9637883008356547</v>
      </c>
      <c r="H51" s="73">
        <v>1</v>
      </c>
      <c r="I51" s="73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2">
      <c r="B52" s="66">
        <v>48</v>
      </c>
      <c r="C52" s="44" t="s">
        <v>35</v>
      </c>
      <c r="D52" s="52">
        <v>1.1200000000000001</v>
      </c>
      <c r="E52" s="42">
        <f t="shared" si="17"/>
        <v>0.89285714285714279</v>
      </c>
      <c r="F52" s="56">
        <f t="shared" si="18"/>
        <v>0.69285714285714284</v>
      </c>
      <c r="G52" s="69">
        <v>1.45</v>
      </c>
      <c r="H52" s="73">
        <v>1</v>
      </c>
      <c r="I52" s="73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2">
      <c r="B53" s="66">
        <v>49</v>
      </c>
      <c r="C53" s="44" t="s">
        <v>19</v>
      </c>
      <c r="D53" s="52">
        <v>1.45</v>
      </c>
      <c r="E53" s="42">
        <f t="shared" si="17"/>
        <v>0.68965517241379315</v>
      </c>
      <c r="F53" s="56">
        <f t="shared" si="18"/>
        <v>0.48965517241379314</v>
      </c>
      <c r="G53" s="69">
        <f t="shared" si="19"/>
        <v>2.0422535211267605</v>
      </c>
      <c r="H53" s="73">
        <v>1</v>
      </c>
      <c r="I53" s="73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2">
      <c r="B54" s="66">
        <v>50</v>
      </c>
      <c r="C54" s="44" t="s">
        <v>34</v>
      </c>
      <c r="D54" s="52">
        <v>1.51</v>
      </c>
      <c r="E54" s="42">
        <f t="shared" si="17"/>
        <v>0.66225165562913912</v>
      </c>
      <c r="F54" s="56">
        <f t="shared" si="18"/>
        <v>0.46225165562913911</v>
      </c>
      <c r="G54" s="69">
        <v>2.17</v>
      </c>
      <c r="H54" s="73">
        <v>0</v>
      </c>
      <c r="I54" s="73" t="s">
        <v>7</v>
      </c>
      <c r="J54" s="26">
        <f t="shared" si="20"/>
        <v>0</v>
      </c>
      <c r="K54" s="27">
        <f t="shared" si="21"/>
        <v>0</v>
      </c>
    </row>
    <row r="55" spans="2:11" x14ac:dyDescent="0.2">
      <c r="B55" s="66">
        <v>51</v>
      </c>
      <c r="C55" s="44" t="s">
        <v>33</v>
      </c>
      <c r="D55" s="52">
        <v>1.1200000000000001</v>
      </c>
      <c r="E55" s="42">
        <f t="shared" si="17"/>
        <v>0.89285714285714279</v>
      </c>
      <c r="F55" s="56">
        <f t="shared" si="18"/>
        <v>0.69285714285714284</v>
      </c>
      <c r="G55" s="69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6" thickBot="1" x14ac:dyDescent="0.25">
      <c r="B56" s="67">
        <v>52</v>
      </c>
      <c r="C56" s="45" t="s">
        <v>50</v>
      </c>
      <c r="D56" s="9">
        <v>1.17</v>
      </c>
      <c r="E56" s="43">
        <f t="shared" si="17"/>
        <v>0.85470085470085477</v>
      </c>
      <c r="F56" s="61">
        <f t="shared" si="18"/>
        <v>0.65470085470085482</v>
      </c>
      <c r="G56" s="70">
        <f t="shared" si="19"/>
        <v>1.5274151436031329</v>
      </c>
      <c r="H56" s="78">
        <v>1</v>
      </c>
      <c r="I56" s="78" t="s">
        <v>7</v>
      </c>
      <c r="J56" s="28">
        <f t="shared" si="20"/>
        <v>0.49577023498694489</v>
      </c>
      <c r="K56" s="29">
        <f t="shared" si="21"/>
        <v>27.540036553524786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"/>
  <sheetViews>
    <sheetView zoomScale="165" workbookViewId="0">
      <selection activeCell="E16" sqref="E16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44</v>
      </c>
    </row>
    <row r="3" spans="2:12" ht="16" thickBot="1" x14ac:dyDescent="0.2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ht="16" thickBot="1" x14ac:dyDescent="0.25">
      <c r="B5" s="2">
        <v>1</v>
      </c>
      <c r="C5" s="30" t="s">
        <v>37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39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10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40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41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42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10</v>
      </c>
      <c r="J9" s="15">
        <f t="shared" ref="J9:J10" si="6">IF(H9=0,0,IF(I9="WON",(G9-1),-1))</f>
        <v>0</v>
      </c>
      <c r="K9" s="25">
        <f t="shared" si="4"/>
        <v>0</v>
      </c>
    </row>
    <row r="10" spans="2:12" x14ac:dyDescent="0.2">
      <c r="B10" s="2">
        <v>6</v>
      </c>
      <c r="C10" s="54" t="s">
        <v>43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tabSelected="1" zoomScale="147" workbookViewId="0">
      <selection activeCell="L12" sqref="L12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31</v>
      </c>
    </row>
    <row r="3" spans="2:14" ht="16" thickBot="1" x14ac:dyDescent="0.25">
      <c r="B3" s="1"/>
      <c r="C3" s="1"/>
      <c r="D3" s="1"/>
      <c r="E3" s="1"/>
      <c r="K3" s="32" t="s">
        <v>28</v>
      </c>
      <c r="L3" s="7"/>
      <c r="M3" s="39"/>
      <c r="N3" s="39"/>
    </row>
    <row r="4" spans="2:14" ht="16" thickBot="1" x14ac:dyDescent="0.25">
      <c r="B4" s="13" t="s">
        <v>0</v>
      </c>
      <c r="C4" s="13" t="s">
        <v>45</v>
      </c>
      <c r="D4" s="13" t="s">
        <v>23</v>
      </c>
      <c r="E4" s="33" t="s">
        <v>24</v>
      </c>
      <c r="F4" s="13" t="s">
        <v>25</v>
      </c>
      <c r="G4" s="34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6" thickBot="1" x14ac:dyDescent="0.25">
      <c r="B5" s="2">
        <v>1</v>
      </c>
      <c r="C5" s="55"/>
      <c r="D5" s="35"/>
      <c r="E5" s="35"/>
      <c r="F5" s="35"/>
      <c r="G5" s="35"/>
      <c r="H5" s="36"/>
      <c r="I5" s="37"/>
      <c r="J5" s="36">
        <f t="shared" ref="J5:J6" si="0">IF(AND(I5&lt;=F5,I5&gt;=E5),0,IF(I5&lt;E5,MAX(I5-E5,D5-E5),MAX(F5-I5,F5-G5)))</f>
        <v>0</v>
      </c>
      <c r="K5" s="40"/>
      <c r="L5" s="38">
        <f t="shared" ref="L5:L6" si="1">(H5+J5)*100-K5</f>
        <v>0</v>
      </c>
    </row>
    <row r="6" spans="2:14" x14ac:dyDescent="0.2">
      <c r="B6" s="2">
        <v>2</v>
      </c>
      <c r="C6" s="55"/>
      <c r="D6" s="35"/>
      <c r="E6" s="35"/>
      <c r="F6" s="35"/>
      <c r="G6" s="35"/>
      <c r="H6" s="36"/>
      <c r="I6" s="37"/>
      <c r="J6" s="36">
        <f t="shared" si="0"/>
        <v>0</v>
      </c>
      <c r="K6" s="40"/>
      <c r="L6" s="38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2026-05-10T22:14:49Z</dcterms:modified>
</cp:coreProperties>
</file>